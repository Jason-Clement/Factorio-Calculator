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lement\OneDrive\Factorio-Calculator\"/>
    </mc:Choice>
  </mc:AlternateContent>
  <xr:revisionPtr revIDLastSave="34" documentId="B5BEC291AF7BE4350BCF3C9F1B877E8B39CD5728" xr6:coauthVersionLast="23" xr6:coauthVersionMax="23" xr10:uidLastSave="{A52EDF51-4A75-4BB1-9F93-B5F034BB9EA6}"/>
  <bookViews>
    <workbookView xWindow="0" yWindow="0" windowWidth="20490" windowHeight="6630" xr2:uid="{00000000-000D-0000-FFFF-FFFF00000000}"/>
  </bookViews>
  <sheets>
    <sheet name="Calc" sheetId="3" r:id="rId1"/>
    <sheet name="Data" sheetId="1" r:id="rId2"/>
    <sheet name="Scratch" sheetId="4" r:id="rId3"/>
  </sheets>
  <definedNames>
    <definedName name="ActiveComponent">Scratch!$F$2</definedName>
    <definedName name="AssemblerType">Calc!$C$18</definedName>
    <definedName name="ComponentCount">Scratch!$F$5</definedName>
    <definedName name="CycleTime">Calc!$D$6</definedName>
    <definedName name="CycleTime.Actual">Calc!$E$3</definedName>
    <definedName name="FurnaceType">Calc!$C$19</definedName>
    <definedName name="IncludeAssemblyMachines">Calc!$D$22</definedName>
    <definedName name="IncludeChemicalPlants">Calc!$D$23</definedName>
    <definedName name="IncludeCopperPlateFurnace">Calc!#REF!</definedName>
    <definedName name="IncludeCopperPlateFurnaces">Calc!#REF!</definedName>
    <definedName name="IncludeFurnaces">Calc!$D$24</definedName>
    <definedName name="IncludeIronPlateFurnace">Calc!#REF!</definedName>
    <definedName name="IncludeIronPlateFurnaces">Calc!#REF!</definedName>
    <definedName name="IncludeMiners">Calc!$D$25</definedName>
    <definedName name="IncludePumps">Calc!$D$26</definedName>
    <definedName name="IncludeRefineries">Calc!$D$27</definedName>
    <definedName name="Includes">Calc!$D$22:$D$24</definedName>
    <definedName name="IncludeSteelPlateFurnace">Calc!#REF!</definedName>
    <definedName name="IncludeSteelPlateFurnaces">Calc!#REF!</definedName>
    <definedName name="ItemNames">Items[Name]</definedName>
    <definedName name="MinerType">Calc!$C$20</definedName>
    <definedName name="MinInsertionTime">Calc!$D$9</definedName>
    <definedName name="Overrides.AssemblyMachineBonus">Calc!$D$29</definedName>
    <definedName name="Overrides.AssemblyMachineSpeed">Calc!$C$29</definedName>
    <definedName name="Overrides.ChemicalPlantBonus">Calc!$D$30</definedName>
    <definedName name="Overrides.ChemicalPlantSpeed">Calc!$C$30</definedName>
    <definedName name="Overrides.FurnaceBonus">Calc!$D$31</definedName>
    <definedName name="Overrides.FurnaceSpeed">Calc!$C$31</definedName>
    <definedName name="Overrides.MiningBonus">Calc!$D$32</definedName>
    <definedName name="Overrides.MiningSpeed">Calc!$C$32</definedName>
    <definedName name="Overrides.RefineryBonus">Calc!$D$33</definedName>
    <definedName name="Overrides.RefinerySpeed">Calc!$C$33</definedName>
    <definedName name="ProducerQuantity">Calc!$D$5</definedName>
    <definedName name="ProducerQuantity.Actual">Calc!$E$2</definedName>
    <definedName name="ProducerTypes">CraftingTypes[Producer Type]</definedName>
    <definedName name="ProductionCalc.Actual">Calc!$E$2:$E$5</definedName>
    <definedName name="ProductionCalc.CycleTime">Scratch!$J$2:$J$5</definedName>
    <definedName name="ProductionCalc.CycleTime.Entry">Scratch!$J$3</definedName>
    <definedName name="ProductionCalc.Entry">Calc!$D$5:$D$8</definedName>
    <definedName name="ProductionCalc.ProducerQuantity">Scratch!$I$2:$I$5</definedName>
    <definedName name="ProductionCalc.ProducerQuantity.Entry">Scratch!$I$2</definedName>
    <definedName name="ProductionCalc.ProductionPerMinute">Scratch!$L$2:$L$5</definedName>
    <definedName name="ProductionCalc.ProductionPerMinute.Entry">Scratch!$L$5</definedName>
    <definedName name="ProductionCalc.ProductionPerSecond">Scratch!$K$2:$K$5</definedName>
    <definedName name="ProductionCalc.ProductionPerSecond.Entry">Scratch!$K$4</definedName>
    <definedName name="ProductionPerMinute">Calc!$D$8</definedName>
    <definedName name="ProductionPerSecond">Calc!$D$7</definedName>
    <definedName name="ProductionPerSecond.Actual">Calc!$E$4</definedName>
    <definedName name="RecipeTotals">Scratch!XEX:XEZ</definedName>
    <definedName name="RecipeTotals.Component">Scratch!$B:$B</definedName>
    <definedName name="RecipeTotals.Name">Scratch!$A:$A</definedName>
    <definedName name="RecipeTotals.Quantity">Scratch!$C:$C</definedName>
    <definedName name="SelectedComponentCount">Calc!#REF!</definedName>
    <definedName name="SelectedMiningType">Calc!$C$20</definedName>
    <definedName name="SelectedName">Calc!$B$2</definedName>
    <definedName name="SingleSeconds">Calc!#REF!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4" l="1"/>
  <c r="I4" i="4"/>
  <c r="I5" i="4"/>
  <c r="J4" i="4" l="1"/>
  <c r="J5" i="4"/>
  <c r="F93" i="1" l="1"/>
  <c r="G93" i="1"/>
  <c r="I93" i="1"/>
  <c r="J93" i="1" s="1"/>
  <c r="C93" i="1" l="1"/>
  <c r="H93" i="1" s="1"/>
  <c r="AD248" i="1"/>
  <c r="AD249" i="1"/>
  <c r="AD250" i="1"/>
  <c r="AD208" i="1"/>
  <c r="AD128" i="1"/>
  <c r="AD237" i="1"/>
  <c r="K93" i="1"/>
  <c r="U227" i="1"/>
  <c r="U228" i="1"/>
  <c r="U229" i="1"/>
  <c r="U225" i="1"/>
  <c r="U226" i="1"/>
  <c r="U224" i="1"/>
  <c r="M93" i="1" l="1"/>
  <c r="N93" i="1" s="1"/>
  <c r="O93" i="1" s="1"/>
  <c r="L93" i="1"/>
  <c r="L4" i="4"/>
  <c r="L3" i="4" s="1"/>
  <c r="F97" i="1" l="1"/>
  <c r="G97" i="1"/>
  <c r="I97" i="1"/>
  <c r="J97" i="1" s="1"/>
  <c r="AD201" i="1" l="1"/>
  <c r="AD242" i="1"/>
  <c r="AD244" i="1"/>
  <c r="K97" i="1"/>
  <c r="C97" i="1"/>
  <c r="H97" i="1" s="1"/>
  <c r="U237" i="1"/>
  <c r="U236" i="1"/>
  <c r="U238" i="1"/>
  <c r="L97" i="1" l="1"/>
  <c r="M97" i="1"/>
  <c r="N97" i="1" s="1"/>
  <c r="O97" i="1" s="1"/>
  <c r="K3" i="4" l="1"/>
  <c r="K5" i="4" l="1"/>
  <c r="I90" i="1"/>
  <c r="J90" i="1" s="1"/>
  <c r="K90" i="1" s="1"/>
  <c r="I98" i="1"/>
  <c r="J98" i="1" s="1"/>
  <c r="AO8" i="1"/>
  <c r="AO7" i="1"/>
  <c r="I132" i="1" s="1"/>
  <c r="J132" i="1" s="1"/>
  <c r="K132" i="1" s="1"/>
  <c r="AO6" i="1"/>
  <c r="I126" i="1" s="1"/>
  <c r="J126" i="1" s="1"/>
  <c r="AO5" i="1"/>
  <c r="I74" i="1" s="1"/>
  <c r="J74" i="1" s="1"/>
  <c r="K74" i="1" s="1"/>
  <c r="AO4" i="1"/>
  <c r="I57" i="1" s="1"/>
  <c r="J57" i="1" s="1"/>
  <c r="K57" i="1" s="1"/>
  <c r="AO3" i="1"/>
  <c r="I58" i="1" s="1"/>
  <c r="J58" i="1" s="1"/>
  <c r="AD165" i="1" s="1"/>
  <c r="AO2" i="1"/>
  <c r="I2" i="1" s="1"/>
  <c r="J2" i="1" s="1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E6" i="3"/>
  <c r="E7" i="3" s="1"/>
  <c r="B5" i="3" s="1"/>
  <c r="AD166" i="1" l="1"/>
  <c r="AD32" i="1"/>
  <c r="AD321" i="1"/>
  <c r="AD211" i="1"/>
  <c r="AD245" i="1"/>
  <c r="AD202" i="1"/>
  <c r="AD243" i="1"/>
  <c r="AD247" i="1"/>
  <c r="K126" i="1"/>
  <c r="K2" i="1"/>
  <c r="K98" i="1"/>
  <c r="K58" i="1"/>
  <c r="I78" i="1"/>
  <c r="J78" i="1" s="1"/>
  <c r="I9" i="1"/>
  <c r="J9" i="1" s="1"/>
  <c r="I120" i="1"/>
  <c r="J120" i="1" s="1"/>
  <c r="AD299" i="1" s="1"/>
  <c r="I118" i="1"/>
  <c r="J118" i="1" s="1"/>
  <c r="AD192" i="1" s="1"/>
  <c r="I127" i="1"/>
  <c r="J127" i="1" s="1"/>
  <c r="I18" i="1"/>
  <c r="J18" i="1" s="1"/>
  <c r="K18" i="1" s="1"/>
  <c r="I106" i="1"/>
  <c r="J106" i="1" s="1"/>
  <c r="AD210" i="1" s="1"/>
  <c r="I119" i="1"/>
  <c r="J119" i="1" s="1"/>
  <c r="K119" i="1" s="1"/>
  <c r="I67" i="1"/>
  <c r="J67" i="1" s="1"/>
  <c r="AD127" i="1" s="1"/>
  <c r="I22" i="1"/>
  <c r="J22" i="1" s="1"/>
  <c r="K22" i="1" s="1"/>
  <c r="I35" i="1"/>
  <c r="J35" i="1" s="1"/>
  <c r="I23" i="1"/>
  <c r="J23" i="1" s="1"/>
  <c r="AD49" i="1" s="1"/>
  <c r="I134" i="1"/>
  <c r="J134" i="1" s="1"/>
  <c r="AD324" i="1" s="1"/>
  <c r="I123" i="1"/>
  <c r="J123" i="1" s="1"/>
  <c r="I112" i="1"/>
  <c r="J112" i="1" s="1"/>
  <c r="I103" i="1"/>
  <c r="J103" i="1" s="1"/>
  <c r="I92" i="1"/>
  <c r="J92" i="1" s="1"/>
  <c r="I83" i="1"/>
  <c r="J83" i="1" s="1"/>
  <c r="I73" i="1"/>
  <c r="J73" i="1" s="1"/>
  <c r="I64" i="1"/>
  <c r="J64" i="1" s="1"/>
  <c r="I54" i="1"/>
  <c r="J54" i="1" s="1"/>
  <c r="I46" i="1"/>
  <c r="J46" i="1" s="1"/>
  <c r="I38" i="1"/>
  <c r="J38" i="1" s="1"/>
  <c r="I29" i="1"/>
  <c r="J29" i="1" s="1"/>
  <c r="I19" i="1"/>
  <c r="J19" i="1" s="1"/>
  <c r="I10" i="1"/>
  <c r="J10" i="1" s="1"/>
  <c r="I133" i="1"/>
  <c r="J133" i="1" s="1"/>
  <c r="AD241" i="1" s="1"/>
  <c r="I122" i="1"/>
  <c r="J122" i="1" s="1"/>
  <c r="I111" i="1"/>
  <c r="J111" i="1" s="1"/>
  <c r="I102" i="1"/>
  <c r="J102" i="1" s="1"/>
  <c r="I91" i="1"/>
  <c r="J91" i="1" s="1"/>
  <c r="I82" i="1"/>
  <c r="J82" i="1" s="1"/>
  <c r="I72" i="1"/>
  <c r="J72" i="1" s="1"/>
  <c r="I63" i="1"/>
  <c r="J63" i="1" s="1"/>
  <c r="I53" i="1"/>
  <c r="J53" i="1" s="1"/>
  <c r="I45" i="1"/>
  <c r="J45" i="1" s="1"/>
  <c r="I37" i="1"/>
  <c r="J37" i="1" s="1"/>
  <c r="I28" i="1"/>
  <c r="J28" i="1" s="1"/>
  <c r="I17" i="1"/>
  <c r="J17" i="1" s="1"/>
  <c r="I8" i="1"/>
  <c r="J8" i="1" s="1"/>
  <c r="I131" i="1"/>
  <c r="J131" i="1" s="1"/>
  <c r="I121" i="1"/>
  <c r="J121" i="1" s="1"/>
  <c r="AD300" i="1" s="1"/>
  <c r="I110" i="1"/>
  <c r="J110" i="1" s="1"/>
  <c r="I101" i="1"/>
  <c r="J101" i="1" s="1"/>
  <c r="I89" i="1"/>
  <c r="J89" i="1" s="1"/>
  <c r="I81" i="1"/>
  <c r="J81" i="1" s="1"/>
  <c r="I71" i="1"/>
  <c r="J71" i="1" s="1"/>
  <c r="I62" i="1"/>
  <c r="J62" i="1" s="1"/>
  <c r="I52" i="1"/>
  <c r="J52" i="1" s="1"/>
  <c r="I44" i="1"/>
  <c r="J44" i="1" s="1"/>
  <c r="AD176" i="1" s="1"/>
  <c r="I36" i="1"/>
  <c r="J36" i="1" s="1"/>
  <c r="I27" i="1"/>
  <c r="J27" i="1" s="1"/>
  <c r="I16" i="1"/>
  <c r="J16" i="1" s="1"/>
  <c r="I7" i="1"/>
  <c r="J7" i="1" s="1"/>
  <c r="I130" i="1"/>
  <c r="J130" i="1" s="1"/>
  <c r="I117" i="1"/>
  <c r="J117" i="1" s="1"/>
  <c r="I109" i="1"/>
  <c r="J109" i="1" s="1"/>
  <c r="I100" i="1"/>
  <c r="J100" i="1" s="1"/>
  <c r="I88" i="1"/>
  <c r="J88" i="1" s="1"/>
  <c r="I80" i="1"/>
  <c r="J80" i="1" s="1"/>
  <c r="I70" i="1"/>
  <c r="J70" i="1" s="1"/>
  <c r="I61" i="1"/>
  <c r="J61" i="1" s="1"/>
  <c r="AD298" i="1" s="1"/>
  <c r="I51" i="1"/>
  <c r="J51" i="1" s="1"/>
  <c r="I43" i="1"/>
  <c r="J43" i="1" s="1"/>
  <c r="I34" i="1"/>
  <c r="J34" i="1" s="1"/>
  <c r="I26" i="1"/>
  <c r="J26" i="1" s="1"/>
  <c r="I15" i="1"/>
  <c r="J15" i="1" s="1"/>
  <c r="I6" i="1"/>
  <c r="J6" i="1" s="1"/>
  <c r="I129" i="1"/>
  <c r="J129" i="1" s="1"/>
  <c r="I116" i="1"/>
  <c r="J116" i="1" s="1"/>
  <c r="AD291" i="1" s="1"/>
  <c r="I108" i="1"/>
  <c r="J108" i="1" s="1"/>
  <c r="I99" i="1"/>
  <c r="J99" i="1" s="1"/>
  <c r="I87" i="1"/>
  <c r="J87" i="1" s="1"/>
  <c r="I79" i="1"/>
  <c r="J79" i="1" s="1"/>
  <c r="I69" i="1"/>
  <c r="J69" i="1" s="1"/>
  <c r="I60" i="1"/>
  <c r="J60" i="1" s="1"/>
  <c r="I50" i="1"/>
  <c r="J50" i="1" s="1"/>
  <c r="I42" i="1"/>
  <c r="J42" i="1" s="1"/>
  <c r="I33" i="1"/>
  <c r="J33" i="1" s="1"/>
  <c r="I25" i="1"/>
  <c r="J25" i="1" s="1"/>
  <c r="I14" i="1"/>
  <c r="J14" i="1" s="1"/>
  <c r="I5" i="1"/>
  <c r="J5" i="1" s="1"/>
  <c r="K5" i="1" s="1"/>
  <c r="I128" i="1"/>
  <c r="J128" i="1" s="1"/>
  <c r="I115" i="1"/>
  <c r="J115" i="1" s="1"/>
  <c r="I107" i="1"/>
  <c r="J107" i="1" s="1"/>
  <c r="I96" i="1"/>
  <c r="J96" i="1" s="1"/>
  <c r="AD252" i="1" s="1"/>
  <c r="I86" i="1"/>
  <c r="J86" i="1" s="1"/>
  <c r="I77" i="1"/>
  <c r="J77" i="1" s="1"/>
  <c r="I68" i="1"/>
  <c r="J68" i="1" s="1"/>
  <c r="I59" i="1"/>
  <c r="J59" i="1" s="1"/>
  <c r="AD183" i="1" s="1"/>
  <c r="I49" i="1"/>
  <c r="J49" i="1" s="1"/>
  <c r="AD42" i="1" s="1"/>
  <c r="I41" i="1"/>
  <c r="J41" i="1" s="1"/>
  <c r="I32" i="1"/>
  <c r="J32" i="1" s="1"/>
  <c r="I24" i="1"/>
  <c r="J24" i="1" s="1"/>
  <c r="I13" i="1"/>
  <c r="J13" i="1" s="1"/>
  <c r="I4" i="1"/>
  <c r="J4" i="1" s="1"/>
  <c r="I125" i="1"/>
  <c r="J125" i="1" s="1"/>
  <c r="I114" i="1"/>
  <c r="J114" i="1" s="1"/>
  <c r="I105" i="1"/>
  <c r="J105" i="1" s="1"/>
  <c r="I95" i="1"/>
  <c r="J95" i="1" s="1"/>
  <c r="I85" i="1"/>
  <c r="J85" i="1" s="1"/>
  <c r="I76" i="1"/>
  <c r="J76" i="1" s="1"/>
  <c r="AD185" i="1" s="1"/>
  <c r="I66" i="1"/>
  <c r="J66" i="1" s="1"/>
  <c r="I56" i="1"/>
  <c r="J56" i="1" s="1"/>
  <c r="AD182" i="1" s="1"/>
  <c r="I48" i="1"/>
  <c r="J48" i="1" s="1"/>
  <c r="I40" i="1"/>
  <c r="J40" i="1" s="1"/>
  <c r="I31" i="1"/>
  <c r="J31" i="1" s="1"/>
  <c r="I21" i="1"/>
  <c r="J21" i="1" s="1"/>
  <c r="AD52" i="1" s="1"/>
  <c r="I12" i="1"/>
  <c r="J12" i="1" s="1"/>
  <c r="I3" i="1"/>
  <c r="J3" i="1" s="1"/>
  <c r="I124" i="1"/>
  <c r="J124" i="1" s="1"/>
  <c r="I113" i="1"/>
  <c r="J113" i="1" s="1"/>
  <c r="I104" i="1"/>
  <c r="J104" i="1" s="1"/>
  <c r="I94" i="1"/>
  <c r="J94" i="1" s="1"/>
  <c r="I84" i="1"/>
  <c r="J84" i="1" s="1"/>
  <c r="I75" i="1"/>
  <c r="J75" i="1" s="1"/>
  <c r="I65" i="1"/>
  <c r="J65" i="1" s="1"/>
  <c r="I55" i="1"/>
  <c r="J55" i="1" s="1"/>
  <c r="AD181" i="1" s="1"/>
  <c r="I47" i="1"/>
  <c r="J47" i="1" s="1"/>
  <c r="I39" i="1"/>
  <c r="J39" i="1" s="1"/>
  <c r="I30" i="1"/>
  <c r="J30" i="1" s="1"/>
  <c r="I20" i="1"/>
  <c r="J20" i="1" s="1"/>
  <c r="I11" i="1"/>
  <c r="J11" i="1" s="1"/>
  <c r="AD232" i="1" l="1"/>
  <c r="AD239" i="1"/>
  <c r="AD18" i="1"/>
  <c r="AD10" i="1"/>
  <c r="AD271" i="1"/>
  <c r="AD303" i="1"/>
  <c r="AD61" i="1"/>
  <c r="AD104" i="1"/>
  <c r="AD289" i="1"/>
  <c r="AD296" i="1"/>
  <c r="AD116" i="1"/>
  <c r="AD28" i="1"/>
  <c r="AD162" i="1"/>
  <c r="AD126" i="1"/>
  <c r="AD213" i="1"/>
  <c r="AD125" i="1"/>
  <c r="AD135" i="1"/>
  <c r="AD172" i="1"/>
  <c r="AD268" i="1"/>
  <c r="AD99" i="1"/>
  <c r="AD188" i="1"/>
  <c r="AD11" i="1"/>
  <c r="AD205" i="1"/>
  <c r="AD119" i="1"/>
  <c r="AD141" i="1"/>
  <c r="AD106" i="1"/>
  <c r="AD190" i="1"/>
  <c r="AD316" i="1"/>
  <c r="AD87" i="1"/>
  <c r="AD149" i="1"/>
  <c r="AD179" i="1"/>
  <c r="AD262" i="1"/>
  <c r="AD14" i="1"/>
  <c r="AD93" i="1"/>
  <c r="AD36" i="1"/>
  <c r="AD309" i="1"/>
  <c r="AD320" i="1"/>
  <c r="AD123" i="1"/>
  <c r="AD78" i="1"/>
  <c r="AD20" i="1"/>
  <c r="AD157" i="1"/>
  <c r="AD287" i="1"/>
  <c r="AD84" i="1"/>
  <c r="AD144" i="1"/>
  <c r="AD259" i="1"/>
  <c r="AD62" i="1"/>
  <c r="AD161" i="1"/>
  <c r="AD225" i="1"/>
  <c r="AD39" i="1"/>
  <c r="AD94" i="1"/>
  <c r="AD284" i="1"/>
  <c r="AD6" i="1"/>
  <c r="AD64" i="1"/>
  <c r="AD60" i="1"/>
  <c r="AD158" i="1"/>
  <c r="AD90" i="1"/>
  <c r="AD113" i="1"/>
  <c r="AD278" i="1"/>
  <c r="AD4" i="1"/>
  <c r="AD45" i="1"/>
  <c r="AD76" i="1"/>
  <c r="AD265" i="1"/>
  <c r="AD238" i="1"/>
  <c r="AD17" i="1"/>
  <c r="AD231" i="1"/>
  <c r="AD50" i="1"/>
  <c r="AD169" i="1"/>
  <c r="AD311" i="1"/>
  <c r="AD81" i="1"/>
  <c r="AD112" i="1"/>
  <c r="AD204" i="1"/>
  <c r="AD178" i="1"/>
  <c r="AD53" i="1"/>
  <c r="AD148" i="1"/>
  <c r="AD63" i="1"/>
  <c r="AD27" i="1"/>
  <c r="AD295" i="1"/>
  <c r="AD280" i="1"/>
  <c r="AD57" i="1"/>
  <c r="AD267" i="1"/>
  <c r="AD111" i="1"/>
  <c r="AD171" i="1"/>
  <c r="AD98" i="1"/>
  <c r="AD155" i="1"/>
  <c r="AD187" i="1"/>
  <c r="AD216" i="1"/>
  <c r="AD140" i="1"/>
  <c r="AD272" i="1"/>
  <c r="AD24" i="1"/>
  <c r="AD236" i="1"/>
  <c r="AD258" i="1"/>
  <c r="AD255" i="1"/>
  <c r="AD47" i="1"/>
  <c r="AD34" i="1"/>
  <c r="AD230" i="1"/>
  <c r="AD197" i="1"/>
  <c r="AD317" i="1"/>
  <c r="AD92" i="1"/>
  <c r="AD153" i="1"/>
  <c r="AD220" i="1"/>
  <c r="AD282" i="1"/>
  <c r="AD304" i="1"/>
  <c r="AD319" i="1"/>
  <c r="AD164" i="1"/>
  <c r="AD302" i="1"/>
  <c r="AD19" i="1"/>
  <c r="AD102" i="1"/>
  <c r="AD263" i="1"/>
  <c r="AD209" i="1"/>
  <c r="AD38" i="1"/>
  <c r="AD323" i="1"/>
  <c r="AD48" i="1"/>
  <c r="AD129" i="1"/>
  <c r="AD83" i="1"/>
  <c r="AD175" i="1"/>
  <c r="AD224" i="1"/>
  <c r="AD160" i="1"/>
  <c r="AD191" i="1"/>
  <c r="AD44" i="1"/>
  <c r="AD226" i="1"/>
  <c r="AD73" i="1"/>
  <c r="AD221" i="1"/>
  <c r="AD186" i="1"/>
  <c r="AD65" i="1"/>
  <c r="AD254" i="1"/>
  <c r="AD203" i="1"/>
  <c r="AD234" i="1"/>
  <c r="AD240" i="1"/>
  <c r="AD246" i="1"/>
  <c r="AD251" i="1"/>
  <c r="AD2" i="1"/>
  <c r="AD117" i="1"/>
  <c r="AD85" i="1"/>
  <c r="AD305" i="1"/>
  <c r="AD292" i="1"/>
  <c r="AD277" i="1"/>
  <c r="AD35" i="1"/>
  <c r="AD89" i="1"/>
  <c r="AD31" i="1"/>
  <c r="AD253" i="1"/>
  <c r="AD16" i="1"/>
  <c r="AD96" i="1"/>
  <c r="AD67" i="1"/>
  <c r="AD229" i="1"/>
  <c r="AD9" i="1"/>
  <c r="AD103" i="1"/>
  <c r="AD40" i="1"/>
  <c r="AD288" i="1"/>
  <c r="AD37" i="1"/>
  <c r="AD177" i="1"/>
  <c r="AD200" i="1"/>
  <c r="AD294" i="1"/>
  <c r="AD301" i="1"/>
  <c r="AD56" i="1"/>
  <c r="AD227" i="1"/>
  <c r="AD279" i="1"/>
  <c r="AD134" i="1"/>
  <c r="AD170" i="1"/>
  <c r="AD307" i="1"/>
  <c r="AD286" i="1"/>
  <c r="AD97" i="1"/>
  <c r="AD154" i="1"/>
  <c r="AD223" i="1"/>
  <c r="AD46" i="1"/>
  <c r="AD174" i="1"/>
  <c r="AD235" i="1"/>
  <c r="AD257" i="1"/>
  <c r="AD23" i="1"/>
  <c r="AD55" i="1"/>
  <c r="AD276" i="1"/>
  <c r="AD163" i="1"/>
  <c r="AD196" i="1"/>
  <c r="AD219" i="1"/>
  <c r="AD91" i="1"/>
  <c r="AD152" i="1"/>
  <c r="AD77" i="1"/>
  <c r="AD137" i="1"/>
  <c r="AD215" i="1"/>
  <c r="AD270" i="1"/>
  <c r="AD101" i="1"/>
  <c r="AD156" i="1"/>
  <c r="AD121" i="1"/>
  <c r="AD143" i="1"/>
  <c r="AD207" i="1"/>
  <c r="AD159" i="1"/>
  <c r="AD25" i="1"/>
  <c r="AD108" i="1"/>
  <c r="AD118" i="1"/>
  <c r="AD3" i="1"/>
  <c r="AD72" i="1"/>
  <c r="AD261" i="1"/>
  <c r="AD79" i="1"/>
  <c r="AD138" i="1"/>
  <c r="AD212" i="1"/>
  <c r="AD146" i="1"/>
  <c r="AD318" i="1"/>
  <c r="AD29" i="1"/>
  <c r="AD75" i="1"/>
  <c r="AD133" i="1"/>
  <c r="AD168" i="1"/>
  <c r="AD69" i="1"/>
  <c r="AD70" i="1"/>
  <c r="AD30" i="1"/>
  <c r="AD8" i="1"/>
  <c r="AD228" i="1"/>
  <c r="AD66" i="1"/>
  <c r="AD21" i="1"/>
  <c r="AD71" i="1"/>
  <c r="AD115" i="1"/>
  <c r="AD86" i="1"/>
  <c r="AD274" i="1"/>
  <c r="AD33" i="1"/>
  <c r="AD68" i="1"/>
  <c r="AD293" i="1"/>
  <c r="AD193" i="1"/>
  <c r="AD266" i="1"/>
  <c r="AD51" i="1"/>
  <c r="AD184" i="1"/>
  <c r="AD130" i="1"/>
  <c r="AD151" i="1"/>
  <c r="AD214" i="1"/>
  <c r="AD306" i="1"/>
  <c r="AD114" i="1"/>
  <c r="AD222" i="1"/>
  <c r="AD285" i="1"/>
  <c r="AD82" i="1"/>
  <c r="AD139" i="1"/>
  <c r="AD173" i="1"/>
  <c r="AD22" i="1"/>
  <c r="AD105" i="1"/>
  <c r="AD54" i="1"/>
  <c r="AD218" i="1"/>
  <c r="AD275" i="1"/>
  <c r="AD110" i="1"/>
  <c r="AD195" i="1"/>
  <c r="AD297" i="1"/>
  <c r="AD13" i="1"/>
  <c r="AD43" i="1"/>
  <c r="AD58" i="1"/>
  <c r="AD281" i="1"/>
  <c r="AD5" i="1"/>
  <c r="AD41" i="1"/>
  <c r="AD136" i="1"/>
  <c r="AD269" i="1"/>
  <c r="AD100" i="1"/>
  <c r="AD189" i="1"/>
  <c r="AD142" i="1"/>
  <c r="AD206" i="1"/>
  <c r="AD120" i="1"/>
  <c r="AD107" i="1"/>
  <c r="AD260" i="1"/>
  <c r="AD180" i="1"/>
  <c r="AD198" i="1"/>
  <c r="AD194" i="1"/>
  <c r="AD310" i="1"/>
  <c r="AD322" i="1"/>
  <c r="AD59" i="1"/>
  <c r="AD122" i="1"/>
  <c r="AD283" i="1"/>
  <c r="AD233" i="1"/>
  <c r="AD256" i="1"/>
  <c r="AD145" i="1"/>
  <c r="AD313" i="1"/>
  <c r="AD199" i="1"/>
  <c r="AD290" i="1"/>
  <c r="AD88" i="1"/>
  <c r="AD150" i="1"/>
  <c r="AD314" i="1"/>
  <c r="AD132" i="1"/>
  <c r="AD167" i="1"/>
  <c r="AD74" i="1"/>
  <c r="AD312" i="1"/>
  <c r="AD15" i="1"/>
  <c r="AD95" i="1"/>
  <c r="AD7" i="1"/>
  <c r="AD80" i="1"/>
  <c r="AD315" i="1"/>
  <c r="AD131" i="1"/>
  <c r="AD147" i="1"/>
  <c r="AD217" i="1"/>
  <c r="AD273" i="1"/>
  <c r="AD308" i="1"/>
  <c r="AD109" i="1"/>
  <c r="AD26" i="1"/>
  <c r="AD264" i="1"/>
  <c r="AD12" i="1"/>
  <c r="AD124" i="1"/>
  <c r="K67" i="1"/>
  <c r="U159" i="1"/>
  <c r="K11" i="1"/>
  <c r="K84" i="1"/>
  <c r="K31" i="1"/>
  <c r="K105" i="1"/>
  <c r="K49" i="1"/>
  <c r="K128" i="1"/>
  <c r="K69" i="1"/>
  <c r="K15" i="1"/>
  <c r="K88" i="1"/>
  <c r="K36" i="1"/>
  <c r="K110" i="1"/>
  <c r="K53" i="1"/>
  <c r="K133" i="1"/>
  <c r="K73" i="1"/>
  <c r="K35" i="1"/>
  <c r="K120" i="1"/>
  <c r="K20" i="1"/>
  <c r="K94" i="1"/>
  <c r="K40" i="1"/>
  <c r="K114" i="1"/>
  <c r="K59" i="1"/>
  <c r="K79" i="1"/>
  <c r="K26" i="1"/>
  <c r="K100" i="1"/>
  <c r="K44" i="1"/>
  <c r="K121" i="1"/>
  <c r="K63" i="1"/>
  <c r="K10" i="1"/>
  <c r="K83" i="1"/>
  <c r="K9" i="1"/>
  <c r="K48" i="1"/>
  <c r="K68" i="1"/>
  <c r="K14" i="1"/>
  <c r="K87" i="1"/>
  <c r="K34" i="1"/>
  <c r="K109" i="1"/>
  <c r="K52" i="1"/>
  <c r="K131" i="1"/>
  <c r="K72" i="1"/>
  <c r="K19" i="1"/>
  <c r="K92" i="1"/>
  <c r="K78" i="1"/>
  <c r="K39" i="1"/>
  <c r="K113" i="1"/>
  <c r="K56" i="1"/>
  <c r="K4" i="1"/>
  <c r="K77" i="1"/>
  <c r="K25" i="1"/>
  <c r="K99" i="1"/>
  <c r="K43" i="1"/>
  <c r="K117" i="1"/>
  <c r="K62" i="1"/>
  <c r="K8" i="1"/>
  <c r="K82" i="1"/>
  <c r="K29" i="1"/>
  <c r="K103" i="1"/>
  <c r="K30" i="1"/>
  <c r="K47" i="1"/>
  <c r="K124" i="1"/>
  <c r="K66" i="1"/>
  <c r="K13" i="1"/>
  <c r="K86" i="1"/>
  <c r="K33" i="1"/>
  <c r="K108" i="1"/>
  <c r="K51" i="1"/>
  <c r="K130" i="1"/>
  <c r="K71" i="1"/>
  <c r="K17" i="1"/>
  <c r="K91" i="1"/>
  <c r="K38" i="1"/>
  <c r="K112" i="1"/>
  <c r="K106" i="1"/>
  <c r="K125" i="1"/>
  <c r="K55" i="1"/>
  <c r="K3" i="1"/>
  <c r="K76" i="1"/>
  <c r="K24" i="1"/>
  <c r="K96" i="1"/>
  <c r="K42" i="1"/>
  <c r="K116" i="1"/>
  <c r="K61" i="1"/>
  <c r="K7" i="1"/>
  <c r="K81" i="1"/>
  <c r="K28" i="1"/>
  <c r="K102" i="1"/>
  <c r="K46" i="1"/>
  <c r="K123" i="1"/>
  <c r="K65" i="1"/>
  <c r="K12" i="1"/>
  <c r="K85" i="1"/>
  <c r="K32" i="1"/>
  <c r="K107" i="1"/>
  <c r="K50" i="1"/>
  <c r="K129" i="1"/>
  <c r="K70" i="1"/>
  <c r="K16" i="1"/>
  <c r="K89" i="1"/>
  <c r="K37" i="1"/>
  <c r="K111" i="1"/>
  <c r="K54" i="1"/>
  <c r="K134" i="1"/>
  <c r="K127" i="1"/>
  <c r="K104" i="1"/>
  <c r="K75" i="1"/>
  <c r="K21" i="1"/>
  <c r="K95" i="1"/>
  <c r="K41" i="1"/>
  <c r="K115" i="1"/>
  <c r="K60" i="1"/>
  <c r="K6" i="1"/>
  <c r="K80" i="1"/>
  <c r="K27" i="1"/>
  <c r="K101" i="1"/>
  <c r="K45" i="1"/>
  <c r="K122" i="1"/>
  <c r="K64" i="1"/>
  <c r="K23" i="1"/>
  <c r="K118" i="1"/>
  <c r="U217" i="1"/>
  <c r="U177" i="1"/>
  <c r="U153" i="1"/>
  <c r="U43" i="1"/>
  <c r="U68" i="1"/>
  <c r="U132" i="1"/>
  <c r="U51" i="1"/>
  <c r="U298" i="1"/>
  <c r="U264" i="1"/>
  <c r="U240" i="1"/>
  <c r="U216" i="1"/>
  <c r="U191" i="1"/>
  <c r="U151" i="1"/>
  <c r="U76" i="1"/>
  <c r="U55" i="1"/>
  <c r="U39" i="1"/>
  <c r="U17" i="1"/>
  <c r="U277" i="1"/>
  <c r="U52" i="1"/>
  <c r="U319" i="1"/>
  <c r="U316" i="1"/>
  <c r="U235" i="1"/>
  <c r="U190" i="1"/>
  <c r="U169" i="1"/>
  <c r="U148" i="1"/>
  <c r="U137" i="1"/>
  <c r="U96" i="1"/>
  <c r="U73" i="1"/>
  <c r="U53" i="1"/>
  <c r="U36" i="1"/>
  <c r="U144" i="1"/>
  <c r="U321" i="1"/>
  <c r="U194" i="1"/>
  <c r="U202" i="1"/>
  <c r="U295" i="1"/>
  <c r="U184" i="1"/>
  <c r="U259" i="1"/>
  <c r="U208" i="1"/>
  <c r="U166" i="1"/>
  <c r="U136" i="1"/>
  <c r="U93" i="1"/>
  <c r="U63" i="1"/>
  <c r="U299" i="1"/>
  <c r="U111" i="1"/>
  <c r="U282" i="1"/>
  <c r="U108" i="1"/>
  <c r="U313" i="1"/>
  <c r="U281" i="1"/>
  <c r="U233" i="1"/>
  <c r="U146" i="1"/>
  <c r="U113" i="1"/>
  <c r="U90" i="1"/>
  <c r="U256" i="1"/>
  <c r="U161" i="1"/>
  <c r="U231" i="1"/>
  <c r="U129" i="1"/>
  <c r="U30" i="1"/>
  <c r="U261" i="1"/>
  <c r="U309" i="1"/>
  <c r="U86" i="1"/>
  <c r="U324" i="1"/>
  <c r="U308" i="1"/>
  <c r="U293" i="1"/>
  <c r="U273" i="1"/>
  <c r="U255" i="1"/>
  <c r="U221" i="1"/>
  <c r="U141" i="1"/>
  <c r="U323" i="1"/>
  <c r="U306" i="1"/>
  <c r="U291" i="1"/>
  <c r="U271" i="1"/>
  <c r="U251" i="1"/>
  <c r="U219" i="1"/>
  <c r="U201" i="1"/>
  <c r="U180" i="1"/>
  <c r="U126" i="1"/>
  <c r="U106" i="1"/>
  <c r="U83" i="1"/>
  <c r="U61" i="1"/>
  <c r="U47" i="1"/>
  <c r="U27" i="1"/>
  <c r="U4" i="1"/>
  <c r="U303" i="1"/>
  <c r="U290" i="1"/>
  <c r="U268" i="1"/>
  <c r="U249" i="1"/>
  <c r="U197" i="1"/>
  <c r="U158" i="1"/>
  <c r="U139" i="1"/>
  <c r="U104" i="1"/>
  <c r="U80" i="1"/>
  <c r="U59" i="1"/>
  <c r="U22" i="1"/>
  <c r="U2" i="1"/>
  <c r="U7" i="1"/>
  <c r="U9" i="1"/>
  <c r="U8" i="1"/>
  <c r="U117" i="1"/>
  <c r="U125" i="1"/>
  <c r="U124" i="1"/>
  <c r="U140" i="1"/>
  <c r="U72" i="1"/>
  <c r="U156" i="1"/>
  <c r="U123" i="1"/>
  <c r="U5" i="1"/>
  <c r="U74" i="1"/>
  <c r="U157" i="1"/>
  <c r="U34" i="1"/>
  <c r="U35" i="1"/>
  <c r="U253" i="1"/>
  <c r="U85" i="1"/>
  <c r="U6" i="1"/>
  <c r="U112" i="1"/>
  <c r="U32" i="1"/>
  <c r="U183" i="1"/>
  <c r="U31" i="1"/>
  <c r="U84" i="1"/>
  <c r="U312" i="1"/>
  <c r="U212" i="1"/>
  <c r="U185" i="1"/>
  <c r="U160" i="1"/>
  <c r="U287" i="1"/>
  <c r="U101" i="1"/>
  <c r="U100" i="1"/>
  <c r="U99" i="1"/>
  <c r="U120" i="1"/>
  <c r="U119" i="1"/>
  <c r="U121" i="1"/>
  <c r="U138" i="1"/>
  <c r="U172" i="1"/>
  <c r="U173" i="1"/>
  <c r="U269" i="1"/>
  <c r="U164" i="1"/>
  <c r="U143" i="1"/>
  <c r="U142" i="1"/>
  <c r="U163" i="1"/>
  <c r="U75" i="1"/>
  <c r="U214" i="1"/>
  <c r="U162" i="1"/>
  <c r="U105" i="1"/>
  <c r="U267" i="1"/>
  <c r="U77" i="1"/>
  <c r="U215" i="1"/>
  <c r="U213" i="1"/>
  <c r="U207" i="1"/>
  <c r="U263" i="1"/>
  <c r="U305" i="1"/>
  <c r="U206" i="1"/>
  <c r="U262" i="1"/>
  <c r="U29" i="1"/>
  <c r="U304" i="1"/>
  <c r="U205" i="1"/>
  <c r="U28" i="1"/>
  <c r="U189" i="1"/>
  <c r="U286" i="1"/>
  <c r="U188" i="1"/>
  <c r="U56" i="1"/>
  <c r="U54" i="1"/>
  <c r="U289" i="1"/>
  <c r="U288" i="1"/>
  <c r="U266" i="1"/>
  <c r="U265" i="1"/>
  <c r="U58" i="1"/>
  <c r="U57" i="1"/>
  <c r="U102" i="1"/>
  <c r="U103" i="1"/>
  <c r="U246" i="1"/>
  <c r="U247" i="1"/>
  <c r="U245" i="1"/>
  <c r="U248" i="1"/>
  <c r="U243" i="1"/>
  <c r="U244" i="1"/>
  <c r="U122" i="1"/>
  <c r="U78" i="1"/>
  <c r="U79" i="1"/>
  <c r="U211" i="1"/>
  <c r="U318" i="1"/>
  <c r="U145" i="1"/>
  <c r="U33" i="1"/>
  <c r="U317" i="1"/>
  <c r="U294" i="1"/>
  <c r="U209" i="1"/>
  <c r="U285" i="1"/>
  <c r="U210" i="1"/>
  <c r="U234" i="1"/>
  <c r="U187" i="1"/>
  <c r="U315" i="1"/>
  <c r="U186" i="1"/>
  <c r="U314" i="1"/>
  <c r="U71" i="1"/>
  <c r="U70" i="1"/>
  <c r="U50" i="1"/>
  <c r="U3" i="1"/>
  <c r="U230" i="1"/>
  <c r="U69" i="1"/>
  <c r="U26" i="1"/>
  <c r="U118" i="1"/>
  <c r="U19" i="1"/>
  <c r="U13" i="1"/>
  <c r="U12" i="1"/>
  <c r="U11" i="1"/>
  <c r="U270" i="1"/>
  <c r="U165" i="1"/>
  <c r="U254" i="1"/>
  <c r="U110" i="1"/>
  <c r="U18" i="1"/>
  <c r="U311" i="1"/>
  <c r="U198" i="1"/>
  <c r="U150" i="1"/>
  <c r="U109" i="1"/>
  <c r="U92" i="1"/>
  <c r="U65" i="1"/>
  <c r="U149" i="1"/>
  <c r="U134" i="1"/>
  <c r="U91" i="1"/>
  <c r="U64" i="1"/>
  <c r="U176" i="1"/>
  <c r="U133" i="1"/>
  <c r="U46" i="1"/>
  <c r="U45" i="1"/>
  <c r="U220" i="1"/>
  <c r="U175" i="1"/>
  <c r="U276" i="1"/>
  <c r="U174" i="1"/>
  <c r="U44" i="1"/>
  <c r="U38" i="1"/>
  <c r="U10" i="1"/>
  <c r="U37" i="1"/>
  <c r="U82" i="1"/>
  <c r="U292" i="1"/>
  <c r="U81" i="1"/>
  <c r="U60" i="1"/>
  <c r="U320" i="1"/>
  <c r="U250" i="1"/>
  <c r="U242" i="1"/>
  <c r="U193" i="1"/>
  <c r="U168" i="1"/>
  <c r="U107" i="1"/>
  <c r="U192" i="1"/>
  <c r="U167" i="1"/>
  <c r="U239" i="1"/>
  <c r="U272" i="1"/>
  <c r="U241" i="1"/>
  <c r="U127" i="1"/>
  <c r="U67" i="1"/>
  <c r="U280" i="1"/>
  <c r="U135" i="1"/>
  <c r="U307" i="1"/>
  <c r="U218" i="1"/>
  <c r="U196" i="1"/>
  <c r="U195" i="1"/>
  <c r="U42" i="1"/>
  <c r="U275" i="1"/>
  <c r="U131" i="1"/>
  <c r="U89" i="1"/>
  <c r="U62" i="1"/>
  <c r="U41" i="1"/>
  <c r="U274" i="1"/>
  <c r="U171" i="1"/>
  <c r="U130" i="1"/>
  <c r="U88" i="1"/>
  <c r="U40" i="1"/>
  <c r="U16" i="1"/>
  <c r="U252" i="1"/>
  <c r="U170" i="1"/>
  <c r="U87" i="1"/>
  <c r="U15" i="1"/>
  <c r="U322" i="1"/>
  <c r="U147" i="1"/>
  <c r="U128" i="1"/>
  <c r="U14" i="1"/>
  <c r="U25" i="1"/>
  <c r="U200" i="1"/>
  <c r="U279" i="1"/>
  <c r="U199" i="1"/>
  <c r="U152" i="1"/>
  <c r="U66" i="1"/>
  <c r="U49" i="1"/>
  <c r="U24" i="1"/>
  <c r="U300" i="1"/>
  <c r="U278" i="1"/>
  <c r="U179" i="1"/>
  <c r="U48" i="1"/>
  <c r="U23" i="1"/>
  <c r="U178" i="1"/>
  <c r="U116" i="1"/>
  <c r="U258" i="1"/>
  <c r="U223" i="1"/>
  <c r="U115" i="1"/>
  <c r="U257" i="1"/>
  <c r="U114" i="1"/>
  <c r="U95" i="1"/>
  <c r="U222" i="1"/>
  <c r="U94" i="1"/>
  <c r="U182" i="1"/>
  <c r="U21" i="1"/>
  <c r="U310" i="1"/>
  <c r="U20" i="1"/>
  <c r="U302" i="1"/>
  <c r="U181" i="1"/>
  <c r="U301" i="1"/>
  <c r="U204" i="1"/>
  <c r="U155" i="1"/>
  <c r="U284" i="1"/>
  <c r="U260" i="1"/>
  <c r="U203" i="1"/>
  <c r="U154" i="1"/>
  <c r="U98" i="1"/>
  <c r="U297" i="1"/>
  <c r="U296" i="1"/>
  <c r="U283" i="1"/>
  <c r="U232" i="1"/>
  <c r="U97" i="1"/>
  <c r="AE261" i="1" l="1"/>
  <c r="AE75" i="1"/>
  <c r="AE4" i="1"/>
  <c r="AE134" i="1"/>
  <c r="AE268" i="1"/>
  <c r="AE270" i="1"/>
  <c r="AE79" i="1"/>
  <c r="AE80" i="1"/>
  <c r="AE112" i="1"/>
  <c r="AE46" i="1"/>
  <c r="AE11" i="1"/>
  <c r="AE143" i="1"/>
  <c r="AE145" i="1"/>
  <c r="AE217" i="1"/>
  <c r="AE177" i="1"/>
  <c r="AE55" i="1"/>
  <c r="AE179" i="1"/>
  <c r="AE150" i="1"/>
  <c r="AE278" i="1"/>
  <c r="AE279" i="1"/>
  <c r="AE43" i="1"/>
  <c r="AE220" i="1"/>
  <c r="AE283" i="1"/>
  <c r="AE284" i="1"/>
  <c r="AE96" i="1"/>
  <c r="AE222" i="1"/>
  <c r="AE187" i="1"/>
  <c r="AE102" i="1"/>
  <c r="AE20" i="1"/>
  <c r="AE244" i="1"/>
  <c r="AE240" i="1"/>
  <c r="AE71" i="1"/>
  <c r="AE104" i="1"/>
  <c r="AE24" i="1"/>
  <c r="AE44" i="1"/>
  <c r="AE133" i="1"/>
  <c r="AE45" i="1"/>
  <c r="AE170" i="1"/>
  <c r="AE5" i="1"/>
  <c r="AE164" i="1"/>
  <c r="AE138" i="1"/>
  <c r="AE8" i="1"/>
  <c r="AE204" i="1"/>
  <c r="AE174" i="1"/>
  <c r="AE119" i="1"/>
  <c r="AE207" i="1"/>
  <c r="AE313" i="1"/>
  <c r="AE273" i="1"/>
  <c r="AE53" i="1"/>
  <c r="AE276" i="1"/>
  <c r="AE180" i="1"/>
  <c r="AE314" i="1"/>
  <c r="AE12" i="1"/>
  <c r="AE127" i="1"/>
  <c r="AE58" i="1"/>
  <c r="AE282" i="1"/>
  <c r="AE185" i="1"/>
  <c r="AE15" i="1"/>
  <c r="AE17" i="1"/>
  <c r="AE285" i="1"/>
  <c r="AE99" i="1"/>
  <c r="AE263" i="1"/>
  <c r="AE157" i="1"/>
  <c r="AE202" i="1"/>
  <c r="AE246" i="1"/>
  <c r="AE115" i="1"/>
  <c r="AE289" i="1"/>
  <c r="AE236" i="1"/>
  <c r="AE108" i="1"/>
  <c r="AE73" i="1"/>
  <c r="AE168" i="1"/>
  <c r="AE76" i="1"/>
  <c r="AE307" i="1"/>
  <c r="AE41" i="1"/>
  <c r="AE302" i="1"/>
  <c r="AE212" i="1"/>
  <c r="AE66" i="1"/>
  <c r="AE10" i="1"/>
  <c r="AE140" i="1"/>
  <c r="AE141" i="1"/>
  <c r="AE83" i="1"/>
  <c r="AE146" i="1"/>
  <c r="AE308" i="1"/>
  <c r="AE148" i="1"/>
  <c r="AE34" i="1"/>
  <c r="AE198" i="1"/>
  <c r="AE298" i="1"/>
  <c r="AE124" i="1"/>
  <c r="AE57" i="1"/>
  <c r="AE281" i="1"/>
  <c r="AE304" i="1"/>
  <c r="AE186" i="1"/>
  <c r="AE95" i="1"/>
  <c r="AE231" i="1"/>
  <c r="AE97" i="1"/>
  <c r="AE188" i="1"/>
  <c r="AE128" i="1"/>
  <c r="AE287" i="1"/>
  <c r="AE243" i="1"/>
  <c r="AE251" i="1"/>
  <c r="AE40" i="1"/>
  <c r="AE210" i="1"/>
  <c r="AE258" i="1"/>
  <c r="AE226" i="1"/>
  <c r="AE31" i="1"/>
  <c r="AE265" i="1"/>
  <c r="AE111" i="1"/>
  <c r="AE136" i="1"/>
  <c r="AE319" i="1"/>
  <c r="AE65" i="1"/>
  <c r="AE228" i="1"/>
  <c r="AE271" i="1"/>
  <c r="AE216" i="1"/>
  <c r="AE205" i="1"/>
  <c r="AE129" i="1"/>
  <c r="AE318" i="1"/>
  <c r="AE33" i="1"/>
  <c r="AE178" i="1"/>
  <c r="AE47" i="1"/>
  <c r="AE181" i="1"/>
  <c r="AE35" i="1"/>
  <c r="AE130" i="1"/>
  <c r="AE280" i="1"/>
  <c r="AE91" i="1"/>
  <c r="AE14" i="1"/>
  <c r="AE221" i="1"/>
  <c r="AE312" i="1"/>
  <c r="AE238" i="1"/>
  <c r="AE154" i="1"/>
  <c r="AE100" i="1"/>
  <c r="AE208" i="1"/>
  <c r="AE233" i="1"/>
  <c r="AE245" i="1"/>
  <c r="AE60" i="1"/>
  <c r="AE103" i="1"/>
  <c r="AE22" i="1"/>
  <c r="AE106" i="1"/>
  <c r="AE159" i="1"/>
  <c r="AE290" i="1"/>
  <c r="AE32" i="1"/>
  <c r="AE74" i="1"/>
  <c r="AE253" i="1"/>
  <c r="AE51" i="1"/>
  <c r="AE171" i="1"/>
  <c r="AE269" i="1"/>
  <c r="AE78" i="1"/>
  <c r="AE254" i="1"/>
  <c r="AE9" i="1"/>
  <c r="AE303" i="1"/>
  <c r="AE272" i="1"/>
  <c r="AE120" i="1"/>
  <c r="AE175" i="1"/>
  <c r="AE85" i="1"/>
  <c r="AE68" i="1"/>
  <c r="AE42" i="1"/>
  <c r="AE230" i="1"/>
  <c r="AE182" i="1"/>
  <c r="AE89" i="1"/>
  <c r="AE151" i="1"/>
  <c r="AE125" i="1"/>
  <c r="AE152" i="1"/>
  <c r="AE93" i="1"/>
  <c r="AE38" i="1"/>
  <c r="AE30" i="1"/>
  <c r="AE18" i="1"/>
  <c r="AE223" i="1"/>
  <c r="AE189" i="1"/>
  <c r="AE237" i="1"/>
  <c r="AE256" i="1"/>
  <c r="AE247" i="1"/>
  <c r="AE158" i="1"/>
  <c r="AE288" i="1"/>
  <c r="AE105" i="1"/>
  <c r="AE190" i="1"/>
  <c r="AE166" i="1"/>
  <c r="AE132" i="1"/>
  <c r="AE50" i="1"/>
  <c r="AE266" i="1"/>
  <c r="AE267" i="1"/>
  <c r="AE77" i="1"/>
  <c r="AE123" i="1"/>
  <c r="AE6" i="1"/>
  <c r="AE67" i="1"/>
  <c r="AE82" i="1"/>
  <c r="AE36" i="1"/>
  <c r="AE142" i="1"/>
  <c r="AE84" i="1"/>
  <c r="AE117" i="1"/>
  <c r="AE86" i="1"/>
  <c r="AE54" i="1"/>
  <c r="AE255" i="1"/>
  <c r="AE165" i="1"/>
  <c r="AE277" i="1"/>
  <c r="AE184" i="1"/>
  <c r="AE126" i="1"/>
  <c r="AE219" i="1"/>
  <c r="AE262" i="1"/>
  <c r="AE209" i="1"/>
  <c r="AE69" i="1"/>
  <c r="AE232" i="1"/>
  <c r="AE286" i="1"/>
  <c r="AE101" i="1"/>
  <c r="AE248" i="1"/>
  <c r="AE252" i="1"/>
  <c r="AE2" i="1"/>
  <c r="AE131" i="1"/>
  <c r="AE48" i="1"/>
  <c r="AE23" i="1"/>
  <c r="AE316" i="1"/>
  <c r="AE72" i="1"/>
  <c r="AE29" i="1"/>
  <c r="AE311" i="1"/>
  <c r="AE306" i="1"/>
  <c r="AE172" i="1"/>
  <c r="AE215" i="1"/>
  <c r="AE49" i="1"/>
  <c r="AE7" i="1"/>
  <c r="AE81" i="1"/>
  <c r="AE173" i="1"/>
  <c r="AE320" i="1"/>
  <c r="AE121" i="1"/>
  <c r="AE259" i="1"/>
  <c r="AE147" i="1"/>
  <c r="AE37" i="1"/>
  <c r="AE275" i="1"/>
  <c r="AE149" i="1"/>
  <c r="AE88" i="1"/>
  <c r="AE113" i="1"/>
  <c r="AE227" i="1"/>
  <c r="AE13" i="1"/>
  <c r="AE153" i="1"/>
  <c r="AE122" i="1"/>
  <c r="AE94" i="1"/>
  <c r="AE16" i="1"/>
  <c r="AE114" i="1"/>
  <c r="AE155" i="1"/>
  <c r="AE19" i="1"/>
  <c r="AE250" i="1"/>
  <c r="AE242" i="1"/>
  <c r="AE234" i="1"/>
  <c r="AE21" i="1"/>
  <c r="AE61" i="1"/>
  <c r="AE257" i="1"/>
  <c r="AE260" i="1"/>
  <c r="AE3" i="1"/>
  <c r="AE229" i="1"/>
  <c r="AE87" i="1"/>
  <c r="AE70" i="1"/>
  <c r="AE323" i="1"/>
  <c r="AE62" i="1"/>
  <c r="AE299" i="1"/>
  <c r="AE294" i="1"/>
  <c r="AE310" i="1"/>
  <c r="AE297" i="1"/>
  <c r="AE167" i="1"/>
  <c r="AE139" i="1"/>
  <c r="AE183" i="1"/>
  <c r="AE239" i="1"/>
  <c r="AE235" i="1"/>
  <c r="AE161" i="1"/>
  <c r="AE300" i="1"/>
  <c r="AE301" i="1"/>
  <c r="AE322" i="1"/>
  <c r="AE163" i="1"/>
  <c r="AE169" i="1"/>
  <c r="AE309" i="1"/>
  <c r="AE90" i="1"/>
  <c r="AE98" i="1"/>
  <c r="AE107" i="1"/>
  <c r="AE225" i="1"/>
  <c r="AE26" i="1"/>
  <c r="AE27" i="1"/>
  <c r="AE28" i="1"/>
  <c r="AE196" i="1"/>
  <c r="AE274" i="1"/>
  <c r="AE305" i="1"/>
  <c r="AE324" i="1"/>
  <c r="AE214" i="1"/>
  <c r="AE206" i="1"/>
  <c r="AE56" i="1"/>
  <c r="AE156" i="1"/>
  <c r="AE25" i="1"/>
  <c r="AE199" i="1"/>
  <c r="AE109" i="1"/>
  <c r="AE63" i="1"/>
  <c r="AE116" i="1"/>
  <c r="AE197" i="1"/>
  <c r="AE203" i="1"/>
  <c r="AE135" i="1"/>
  <c r="AE144" i="1"/>
  <c r="AE213" i="1"/>
  <c r="AE249" i="1"/>
  <c r="AE118" i="1"/>
  <c r="AE291" i="1"/>
  <c r="AE264" i="1"/>
  <c r="AE295" i="1"/>
  <c r="AE162" i="1"/>
  <c r="AE317" i="1"/>
  <c r="AE52" i="1"/>
  <c r="AE191" i="1"/>
  <c r="AE321" i="1"/>
  <c r="AE137" i="1"/>
  <c r="AE176" i="1"/>
  <c r="AE92" i="1"/>
  <c r="AE201" i="1"/>
  <c r="AE160" i="1"/>
  <c r="AE292" i="1"/>
  <c r="AE193" i="1"/>
  <c r="AE211" i="1"/>
  <c r="AE296" i="1"/>
  <c r="AE241" i="1"/>
  <c r="AE59" i="1"/>
  <c r="AE293" i="1"/>
  <c r="AE110" i="1"/>
  <c r="AE64" i="1"/>
  <c r="AE218" i="1"/>
  <c r="AE39" i="1"/>
  <c r="AE315" i="1"/>
  <c r="AE224" i="1"/>
  <c r="AE192" i="1"/>
  <c r="AE200" i="1"/>
  <c r="AE194" i="1"/>
  <c r="AE195" i="1"/>
  <c r="V159" i="1"/>
  <c r="V224" i="1"/>
  <c r="V226" i="1"/>
  <c r="V225" i="1"/>
  <c r="V229" i="1"/>
  <c r="V228" i="1"/>
  <c r="V227" i="1"/>
  <c r="V236" i="1"/>
  <c r="V237" i="1"/>
  <c r="V238" i="1"/>
  <c r="F3" i="4"/>
  <c r="AH264" i="1" l="1"/>
  <c r="AG264" i="1"/>
  <c r="AF264" i="1"/>
  <c r="AH153" i="1"/>
  <c r="AG153" i="1"/>
  <c r="AF153" i="1"/>
  <c r="AB153" i="3" s="1"/>
  <c r="AH67" i="1"/>
  <c r="AG67" i="1"/>
  <c r="AF67" i="1"/>
  <c r="AH51" i="1"/>
  <c r="AG51" i="1"/>
  <c r="AF51" i="1"/>
  <c r="AG298" i="1"/>
  <c r="AH298" i="1"/>
  <c r="AF298" i="1"/>
  <c r="AB298" i="3" s="1"/>
  <c r="AH283" i="1"/>
  <c r="AF283" i="1"/>
  <c r="AG283" i="1"/>
  <c r="AH192" i="1"/>
  <c r="AF192" i="1"/>
  <c r="AG192" i="1"/>
  <c r="AH59" i="1"/>
  <c r="AG59" i="1"/>
  <c r="AF59" i="1"/>
  <c r="AB59" i="3" s="1"/>
  <c r="AH92" i="1"/>
  <c r="AG92" i="1"/>
  <c r="AF92" i="1"/>
  <c r="AH295" i="1"/>
  <c r="AG295" i="1"/>
  <c r="AF295" i="1"/>
  <c r="AB295" i="3" s="1"/>
  <c r="AH203" i="1"/>
  <c r="AG203" i="1"/>
  <c r="AF203" i="1"/>
  <c r="AH56" i="1"/>
  <c r="AG56" i="1"/>
  <c r="AF56" i="1"/>
  <c r="AG27" i="1"/>
  <c r="AH27" i="1"/>
  <c r="AF27" i="1"/>
  <c r="AB27" i="3" s="1"/>
  <c r="AG163" i="1"/>
  <c r="AH163" i="1"/>
  <c r="AF163" i="1"/>
  <c r="AH139" i="1"/>
  <c r="AG139" i="1"/>
  <c r="AF139" i="1"/>
  <c r="AB139" i="3" s="1"/>
  <c r="AH70" i="1"/>
  <c r="AG70" i="1"/>
  <c r="AF70" i="1"/>
  <c r="AB70" i="3" s="1"/>
  <c r="AH234" i="1"/>
  <c r="AG234" i="1"/>
  <c r="AF234" i="1"/>
  <c r="AH122" i="1"/>
  <c r="AG122" i="1"/>
  <c r="AF122" i="1"/>
  <c r="AB122" i="3" s="1"/>
  <c r="AH37" i="1"/>
  <c r="AG37" i="1"/>
  <c r="AF37" i="1"/>
  <c r="AH49" i="1"/>
  <c r="AG49" i="1"/>
  <c r="AF49" i="1"/>
  <c r="AH23" i="1"/>
  <c r="AG23" i="1"/>
  <c r="AF23" i="1"/>
  <c r="AB23" i="3" s="1"/>
  <c r="AH232" i="1"/>
  <c r="AG232" i="1"/>
  <c r="AF232" i="1"/>
  <c r="AH165" i="1"/>
  <c r="AG165" i="1"/>
  <c r="AF165" i="1"/>
  <c r="AH82" i="1"/>
  <c r="AG82" i="1"/>
  <c r="AF82" i="1"/>
  <c r="AB82" i="3" s="1"/>
  <c r="AH132" i="1"/>
  <c r="AG132" i="1"/>
  <c r="AF132" i="1"/>
  <c r="AH237" i="1"/>
  <c r="AG237" i="1"/>
  <c r="AF237" i="1"/>
  <c r="AB237" i="3" s="1"/>
  <c r="AH125" i="1"/>
  <c r="AG125" i="1"/>
  <c r="AF125" i="1"/>
  <c r="AH175" i="1"/>
  <c r="AG175" i="1"/>
  <c r="AF175" i="1"/>
  <c r="AH171" i="1"/>
  <c r="AG171" i="1"/>
  <c r="AF171" i="1"/>
  <c r="AB171" i="3" s="1"/>
  <c r="AG22" i="1"/>
  <c r="AH22" i="1"/>
  <c r="AF22" i="1"/>
  <c r="AG238" i="1"/>
  <c r="AH238" i="1"/>
  <c r="AF238" i="1"/>
  <c r="AG181" i="1"/>
  <c r="AH181" i="1"/>
  <c r="AF181" i="1"/>
  <c r="AB181" i="3" s="1"/>
  <c r="AG271" i="1"/>
  <c r="AH271" i="1"/>
  <c r="AF271" i="1"/>
  <c r="AG226" i="1"/>
  <c r="AF226" i="1"/>
  <c r="AB226" i="3" s="1"/>
  <c r="AH226" i="1"/>
  <c r="AG188" i="1"/>
  <c r="AH188" i="1"/>
  <c r="AF188" i="1"/>
  <c r="AG124" i="1"/>
  <c r="AH124" i="1"/>
  <c r="AF124" i="1"/>
  <c r="AG141" i="1"/>
  <c r="AH141" i="1"/>
  <c r="AF141" i="1"/>
  <c r="AB141" i="3" s="1"/>
  <c r="AG76" i="1"/>
  <c r="AF76" i="1"/>
  <c r="AH76" i="1"/>
  <c r="AG202" i="1"/>
  <c r="AH202" i="1"/>
  <c r="AF202" i="1"/>
  <c r="AB202" i="3" s="1"/>
  <c r="AG282" i="1"/>
  <c r="AH282" i="1"/>
  <c r="AF282" i="1"/>
  <c r="AB282" i="3" s="1"/>
  <c r="AG273" i="1"/>
  <c r="AH273" i="1"/>
  <c r="AF273" i="1"/>
  <c r="AG164" i="1"/>
  <c r="AH164" i="1"/>
  <c r="AF164" i="1"/>
  <c r="AB164" i="3" s="1"/>
  <c r="AH71" i="1"/>
  <c r="AF71" i="1"/>
  <c r="AB71" i="3" s="1"/>
  <c r="AG71" i="1"/>
  <c r="AH284" i="1"/>
  <c r="AF284" i="1"/>
  <c r="AG284" i="1"/>
  <c r="AH55" i="1"/>
  <c r="AF55" i="1"/>
  <c r="AB55" i="3" s="1"/>
  <c r="AG55" i="1"/>
  <c r="AH80" i="1"/>
  <c r="AF80" i="1"/>
  <c r="AG80" i="1"/>
  <c r="AG26" i="1"/>
  <c r="AH26" i="1"/>
  <c r="AF26" i="1"/>
  <c r="AB26" i="3" s="1"/>
  <c r="AH215" i="1"/>
  <c r="AG215" i="1"/>
  <c r="AF215" i="1"/>
  <c r="AB215" i="3" s="1"/>
  <c r="AH189" i="1"/>
  <c r="AG189" i="1"/>
  <c r="AF189" i="1"/>
  <c r="AG258" i="1"/>
  <c r="AH258" i="1"/>
  <c r="AF258" i="1"/>
  <c r="AB258" i="3" s="1"/>
  <c r="AG140" i="1"/>
  <c r="AH140" i="1"/>
  <c r="AF140" i="1"/>
  <c r="AG5" i="1"/>
  <c r="AH5" i="1"/>
  <c r="AF5" i="1"/>
  <c r="AH79" i="1"/>
  <c r="AF79" i="1"/>
  <c r="AB79" i="3" s="1"/>
  <c r="AG79" i="1"/>
  <c r="AH315" i="1"/>
  <c r="AG315" i="1"/>
  <c r="AF315" i="1"/>
  <c r="AH296" i="1"/>
  <c r="AG296" i="1"/>
  <c r="AF296" i="1"/>
  <c r="AB296" i="3" s="1"/>
  <c r="AH137" i="1"/>
  <c r="AG137" i="1"/>
  <c r="AF137" i="1"/>
  <c r="AB137" i="3" s="1"/>
  <c r="AH291" i="1"/>
  <c r="AG291" i="1"/>
  <c r="AF291" i="1"/>
  <c r="AG116" i="1"/>
  <c r="AF116" i="1"/>
  <c r="AB116" i="3" s="1"/>
  <c r="AH116" i="1"/>
  <c r="AF214" i="1"/>
  <c r="AB214" i="3" s="1"/>
  <c r="AH214" i="1"/>
  <c r="AG214" i="1"/>
  <c r="AG225" i="1"/>
  <c r="AH225" i="1"/>
  <c r="AF225" i="1"/>
  <c r="AG301" i="1"/>
  <c r="AH301" i="1"/>
  <c r="AF301" i="1"/>
  <c r="AH297" i="1"/>
  <c r="AF297" i="1"/>
  <c r="AG297" i="1"/>
  <c r="AH229" i="1"/>
  <c r="AG229" i="1"/>
  <c r="AF229" i="1"/>
  <c r="AB229" i="3" s="1"/>
  <c r="AH250" i="1"/>
  <c r="AG250" i="1"/>
  <c r="AF250" i="1"/>
  <c r="AB250" i="3" s="1"/>
  <c r="AH13" i="1"/>
  <c r="AG13" i="1"/>
  <c r="AF13" i="1"/>
  <c r="AH259" i="1"/>
  <c r="AG259" i="1"/>
  <c r="AF259" i="1"/>
  <c r="AB259" i="3" s="1"/>
  <c r="AH172" i="1"/>
  <c r="AG172" i="1"/>
  <c r="AF172" i="1"/>
  <c r="AH131" i="1"/>
  <c r="AG131" i="1"/>
  <c r="AF131" i="1"/>
  <c r="AH209" i="1"/>
  <c r="AG209" i="1"/>
  <c r="AF209" i="1"/>
  <c r="AB209" i="3" s="1"/>
  <c r="AH54" i="1"/>
  <c r="AG54" i="1"/>
  <c r="AF54" i="1"/>
  <c r="AH6" i="1"/>
  <c r="AG6" i="1"/>
  <c r="AF6" i="1"/>
  <c r="AB6" i="3" s="1"/>
  <c r="AH190" i="1"/>
  <c r="AG190" i="1"/>
  <c r="AF190" i="1"/>
  <c r="AB190" i="3" s="1"/>
  <c r="AH223" i="1"/>
  <c r="AG223" i="1"/>
  <c r="AF223" i="1"/>
  <c r="AH89" i="1"/>
  <c r="AG89" i="1"/>
  <c r="AF89" i="1"/>
  <c r="AB89" i="3" s="1"/>
  <c r="AH272" i="1"/>
  <c r="AG272" i="1"/>
  <c r="AF272" i="1"/>
  <c r="AH253" i="1"/>
  <c r="AG253" i="1"/>
  <c r="AF253" i="1"/>
  <c r="AG60" i="1"/>
  <c r="AF60" i="1"/>
  <c r="AB60" i="3" s="1"/>
  <c r="AH60" i="1"/>
  <c r="AG221" i="1"/>
  <c r="AF221" i="1"/>
  <c r="AH221" i="1"/>
  <c r="AG178" i="1"/>
  <c r="AF178" i="1"/>
  <c r="AH178" i="1"/>
  <c r="AG65" i="1"/>
  <c r="AF65" i="1"/>
  <c r="AB65" i="3" s="1"/>
  <c r="AH65" i="1"/>
  <c r="AG210" i="1"/>
  <c r="AH210" i="1"/>
  <c r="AF210" i="1"/>
  <c r="AG231" i="1"/>
  <c r="AH231" i="1"/>
  <c r="AF231" i="1"/>
  <c r="AB231" i="3" s="1"/>
  <c r="AG198" i="1"/>
  <c r="AH198" i="1"/>
  <c r="AF198" i="1"/>
  <c r="AG10" i="1"/>
  <c r="AH10" i="1"/>
  <c r="AF10" i="1"/>
  <c r="AG73" i="1"/>
  <c r="AF73" i="1"/>
  <c r="AB73" i="3" s="1"/>
  <c r="AH73" i="1"/>
  <c r="AG263" i="1"/>
  <c r="AH263" i="1"/>
  <c r="AF263" i="1"/>
  <c r="AG127" i="1"/>
  <c r="AH127" i="1"/>
  <c r="AF127" i="1"/>
  <c r="AB127" i="3" s="1"/>
  <c r="AG207" i="1"/>
  <c r="AH207" i="1"/>
  <c r="AF207" i="1"/>
  <c r="AB207" i="3" s="1"/>
  <c r="AG170" i="1"/>
  <c r="AF170" i="1"/>
  <c r="AH170" i="1"/>
  <c r="AH244" i="1"/>
  <c r="AG244" i="1"/>
  <c r="AF244" i="1"/>
  <c r="AB244" i="3" s="1"/>
  <c r="AH220" i="1"/>
  <c r="AG220" i="1"/>
  <c r="AF220" i="1"/>
  <c r="AH217" i="1"/>
  <c r="AG217" i="1"/>
  <c r="AF217" i="1"/>
  <c r="AH270" i="1"/>
  <c r="AG270" i="1"/>
  <c r="AF270" i="1"/>
  <c r="AB270" i="3" s="1"/>
  <c r="AH224" i="1"/>
  <c r="AG224" i="1"/>
  <c r="AF224" i="1"/>
  <c r="AG322" i="1"/>
  <c r="AH322" i="1"/>
  <c r="AF322" i="1"/>
  <c r="AH48" i="1"/>
  <c r="AG48" i="1"/>
  <c r="AF48" i="1"/>
  <c r="AB48" i="3" s="1"/>
  <c r="AH120" i="1"/>
  <c r="AG120" i="1"/>
  <c r="AF120" i="1"/>
  <c r="AG97" i="1"/>
  <c r="AH97" i="1"/>
  <c r="AF97" i="1"/>
  <c r="AB97" i="3" s="1"/>
  <c r="AH240" i="1"/>
  <c r="AF240" i="1"/>
  <c r="AB240" i="3" s="1"/>
  <c r="AG240" i="1"/>
  <c r="AH39" i="1"/>
  <c r="AG39" i="1"/>
  <c r="AF39" i="1"/>
  <c r="AH211" i="1"/>
  <c r="AG211" i="1"/>
  <c r="AF211" i="1"/>
  <c r="AB211" i="3" s="1"/>
  <c r="AH321" i="1"/>
  <c r="AG321" i="1"/>
  <c r="AF321" i="1"/>
  <c r="AG118" i="1"/>
  <c r="AH118" i="1"/>
  <c r="AF118" i="1"/>
  <c r="AB118" i="3" s="1"/>
  <c r="AG63" i="1"/>
  <c r="AF63" i="1"/>
  <c r="AB63" i="3" s="1"/>
  <c r="AH63" i="1"/>
  <c r="AH324" i="1"/>
  <c r="AG324" i="1"/>
  <c r="AF324" i="1"/>
  <c r="AH107" i="1"/>
  <c r="AG107" i="1"/>
  <c r="AF107" i="1"/>
  <c r="AB107" i="3" s="1"/>
  <c r="AG300" i="1"/>
  <c r="AH300" i="1"/>
  <c r="AF300" i="1"/>
  <c r="AH310" i="1"/>
  <c r="AG310" i="1"/>
  <c r="AF310" i="1"/>
  <c r="AF3" i="1"/>
  <c r="AB3" i="3" s="1"/>
  <c r="AH3" i="1"/>
  <c r="AG3" i="1"/>
  <c r="AH19" i="1"/>
  <c r="AG19" i="1"/>
  <c r="AF19" i="1"/>
  <c r="AH227" i="1"/>
  <c r="AG227" i="1"/>
  <c r="AF227" i="1"/>
  <c r="AB227" i="3" s="1"/>
  <c r="AH121" i="1"/>
  <c r="AG121" i="1"/>
  <c r="AF121" i="1"/>
  <c r="AB121" i="3" s="1"/>
  <c r="AF306" i="1"/>
  <c r="AH306" i="1"/>
  <c r="AG306" i="1"/>
  <c r="AH2" i="1"/>
  <c r="AG2" i="1"/>
  <c r="AF2" i="1"/>
  <c r="AB2" i="3" s="1"/>
  <c r="AH262" i="1"/>
  <c r="AG262" i="1"/>
  <c r="AF262" i="1"/>
  <c r="AH86" i="1"/>
  <c r="AG86" i="1"/>
  <c r="AF86" i="1"/>
  <c r="AH123" i="1"/>
  <c r="AG123" i="1"/>
  <c r="AF123" i="1"/>
  <c r="AB123" i="3" s="1"/>
  <c r="AH105" i="1"/>
  <c r="AG105" i="1"/>
  <c r="AF105" i="1"/>
  <c r="AB105" i="3" s="1"/>
  <c r="AH18" i="1"/>
  <c r="AG18" i="1"/>
  <c r="AF18" i="1"/>
  <c r="AB18" i="3" s="1"/>
  <c r="AH182" i="1"/>
  <c r="AG182" i="1"/>
  <c r="AF182" i="1"/>
  <c r="AB182" i="3" s="1"/>
  <c r="AH303" i="1"/>
  <c r="AG303" i="1"/>
  <c r="AF303" i="1"/>
  <c r="AH74" i="1"/>
  <c r="AG74" i="1"/>
  <c r="AF74" i="1"/>
  <c r="AB74" i="3" s="1"/>
  <c r="AG245" i="1"/>
  <c r="AF245" i="1"/>
  <c r="AB245" i="3" s="1"/>
  <c r="AH245" i="1"/>
  <c r="AG14" i="1"/>
  <c r="AF14" i="1"/>
  <c r="AH14" i="1"/>
  <c r="AG33" i="1"/>
  <c r="AF33" i="1"/>
  <c r="AB33" i="3" s="1"/>
  <c r="AH33" i="1"/>
  <c r="AG319" i="1"/>
  <c r="AF319" i="1"/>
  <c r="AH319" i="1"/>
  <c r="AG40" i="1"/>
  <c r="AH40" i="1"/>
  <c r="AF40" i="1"/>
  <c r="AG95" i="1"/>
  <c r="AH95" i="1"/>
  <c r="AF95" i="1"/>
  <c r="AB95" i="3" s="1"/>
  <c r="AG34" i="1"/>
  <c r="AH34" i="1"/>
  <c r="AF34" i="1"/>
  <c r="AG66" i="1"/>
  <c r="AH66" i="1"/>
  <c r="AF66" i="1"/>
  <c r="AB66" i="3" s="1"/>
  <c r="AG108" i="1"/>
  <c r="AH108" i="1"/>
  <c r="AF108" i="1"/>
  <c r="AG99" i="1"/>
  <c r="AH99" i="1"/>
  <c r="AF99" i="1"/>
  <c r="AG12" i="1"/>
  <c r="AH12" i="1"/>
  <c r="AF12" i="1"/>
  <c r="AB12" i="3" s="1"/>
  <c r="AG119" i="1"/>
  <c r="AH119" i="1"/>
  <c r="AF119" i="1"/>
  <c r="AG45" i="1"/>
  <c r="AF45" i="1"/>
  <c r="AH45" i="1"/>
  <c r="AH20" i="1"/>
  <c r="AG20" i="1"/>
  <c r="AF20" i="1"/>
  <c r="AB20" i="3" s="1"/>
  <c r="AH43" i="1"/>
  <c r="AG43" i="1"/>
  <c r="AF43" i="1"/>
  <c r="AH145" i="1"/>
  <c r="AG145" i="1"/>
  <c r="AF145" i="1"/>
  <c r="AB145" i="3" s="1"/>
  <c r="AH268" i="1"/>
  <c r="AG268" i="1"/>
  <c r="AF268" i="1"/>
  <c r="AG197" i="1"/>
  <c r="AF197" i="1"/>
  <c r="AH197" i="1"/>
  <c r="AH242" i="1"/>
  <c r="AG242" i="1"/>
  <c r="AF242" i="1"/>
  <c r="AB242" i="3" s="1"/>
  <c r="AH166" i="1"/>
  <c r="AG166" i="1"/>
  <c r="AF166" i="1"/>
  <c r="AG47" i="1"/>
  <c r="AF47" i="1"/>
  <c r="AH47" i="1"/>
  <c r="AG313" i="1"/>
  <c r="AH313" i="1"/>
  <c r="AF313" i="1"/>
  <c r="AH218" i="1"/>
  <c r="AG218" i="1"/>
  <c r="AF218" i="1"/>
  <c r="AH193" i="1"/>
  <c r="AG193" i="1"/>
  <c r="AF193" i="1"/>
  <c r="AB193" i="3" s="1"/>
  <c r="AH191" i="1"/>
  <c r="AG191" i="1"/>
  <c r="AF191" i="1"/>
  <c r="AH249" i="1"/>
  <c r="AG249" i="1"/>
  <c r="AF249" i="1"/>
  <c r="AG109" i="1"/>
  <c r="AF109" i="1"/>
  <c r="AB109" i="3" s="1"/>
  <c r="AH109" i="1"/>
  <c r="AH305" i="1"/>
  <c r="AG305" i="1"/>
  <c r="AF305" i="1"/>
  <c r="AH98" i="1"/>
  <c r="AG98" i="1"/>
  <c r="AF98" i="1"/>
  <c r="AB98" i="3" s="1"/>
  <c r="AH161" i="1"/>
  <c r="AF161" i="1"/>
  <c r="AB161" i="3" s="1"/>
  <c r="AG161" i="1"/>
  <c r="AH294" i="1"/>
  <c r="AG294" i="1"/>
  <c r="AF294" i="1"/>
  <c r="AH260" i="1"/>
  <c r="AG260" i="1"/>
  <c r="AF260" i="1"/>
  <c r="AB260" i="3" s="1"/>
  <c r="AH155" i="1"/>
  <c r="AG155" i="1"/>
  <c r="AF155" i="1"/>
  <c r="AB155" i="3" s="1"/>
  <c r="AH113" i="1"/>
  <c r="AG113" i="1"/>
  <c r="AF113" i="1"/>
  <c r="AB113" i="3" s="1"/>
  <c r="AH320" i="1"/>
  <c r="AG320" i="1"/>
  <c r="AF320" i="1"/>
  <c r="AF311" i="1"/>
  <c r="AH311" i="1"/>
  <c r="AG311" i="1"/>
  <c r="AH252" i="1"/>
  <c r="AG252" i="1"/>
  <c r="AF252" i="1"/>
  <c r="AB252" i="3" s="1"/>
  <c r="AH219" i="1"/>
  <c r="AG219" i="1"/>
  <c r="AF219" i="1"/>
  <c r="AB219" i="3" s="1"/>
  <c r="AH117" i="1"/>
  <c r="AG117" i="1"/>
  <c r="AF117" i="1"/>
  <c r="AH77" i="1"/>
  <c r="AG77" i="1"/>
  <c r="AF77" i="1"/>
  <c r="AB77" i="3" s="1"/>
  <c r="AH288" i="1"/>
  <c r="AG288" i="1"/>
  <c r="AF288" i="1"/>
  <c r="AH30" i="1"/>
  <c r="AG30" i="1"/>
  <c r="AF30" i="1"/>
  <c r="AH230" i="1"/>
  <c r="AG230" i="1"/>
  <c r="AF230" i="1"/>
  <c r="AB230" i="3" s="1"/>
  <c r="AH9" i="1"/>
  <c r="AG9" i="1"/>
  <c r="AF9" i="1"/>
  <c r="AH32" i="1"/>
  <c r="AG32" i="1"/>
  <c r="AF32" i="1"/>
  <c r="AB32" i="3" s="1"/>
  <c r="AG233" i="1"/>
  <c r="AF233" i="1"/>
  <c r="AB233" i="3" s="1"/>
  <c r="AH233" i="1"/>
  <c r="AG91" i="1"/>
  <c r="AF91" i="1"/>
  <c r="AH91" i="1"/>
  <c r="AG318" i="1"/>
  <c r="AF318" i="1"/>
  <c r="AH318" i="1"/>
  <c r="AG136" i="1"/>
  <c r="AF136" i="1"/>
  <c r="AB136" i="3" s="1"/>
  <c r="AH136" i="1"/>
  <c r="AG251" i="1"/>
  <c r="AH251" i="1"/>
  <c r="AF251" i="1"/>
  <c r="AG186" i="1"/>
  <c r="AH186" i="1"/>
  <c r="AF186" i="1"/>
  <c r="AB186" i="3" s="1"/>
  <c r="AG148" i="1"/>
  <c r="AH148" i="1"/>
  <c r="AF148" i="1"/>
  <c r="AG212" i="1"/>
  <c r="AH212" i="1"/>
  <c r="AF212" i="1"/>
  <c r="AB212" i="3" s="1"/>
  <c r="AG236" i="1"/>
  <c r="AH236" i="1"/>
  <c r="AF236" i="1"/>
  <c r="AB236" i="3" s="1"/>
  <c r="AG285" i="1"/>
  <c r="AH285" i="1"/>
  <c r="AF285" i="1"/>
  <c r="AG314" i="1"/>
  <c r="AH314" i="1"/>
  <c r="AF314" i="1"/>
  <c r="AG174" i="1"/>
  <c r="AH174" i="1"/>
  <c r="AF174" i="1"/>
  <c r="AB174" i="3" s="1"/>
  <c r="AG133" i="1"/>
  <c r="AF133" i="1"/>
  <c r="AH133" i="1"/>
  <c r="AH102" i="1"/>
  <c r="AG102" i="1"/>
  <c r="AF102" i="1"/>
  <c r="AB102" i="3" s="1"/>
  <c r="AH279" i="1"/>
  <c r="AG279" i="1"/>
  <c r="AF279" i="1"/>
  <c r="AB279" i="3" s="1"/>
  <c r="AH143" i="1"/>
  <c r="AG143" i="1"/>
  <c r="AF143" i="1"/>
  <c r="AB143" i="3" s="1"/>
  <c r="AH134" i="1"/>
  <c r="AF134" i="1"/>
  <c r="AB134" i="3" s="1"/>
  <c r="AG134" i="1"/>
  <c r="AH176" i="1"/>
  <c r="AG176" i="1"/>
  <c r="AF176" i="1"/>
  <c r="AF167" i="1"/>
  <c r="AH167" i="1"/>
  <c r="AG167" i="1"/>
  <c r="AH255" i="1"/>
  <c r="AG255" i="1"/>
  <c r="AF255" i="1"/>
  <c r="AB255" i="3" s="1"/>
  <c r="AG312" i="1"/>
  <c r="AF312" i="1"/>
  <c r="AH312" i="1"/>
  <c r="AG58" i="1"/>
  <c r="AH58" i="1"/>
  <c r="AF58" i="1"/>
  <c r="AB58" i="3" s="1"/>
  <c r="AH195" i="1"/>
  <c r="AF195" i="1"/>
  <c r="AB195" i="3" s="1"/>
  <c r="AG195" i="1"/>
  <c r="AH64" i="1"/>
  <c r="AG64" i="1"/>
  <c r="AF64" i="1"/>
  <c r="AB64" i="3" s="1"/>
  <c r="AH292" i="1"/>
  <c r="AG292" i="1"/>
  <c r="AF292" i="1"/>
  <c r="AB292" i="3" s="1"/>
  <c r="AH52" i="1"/>
  <c r="AG52" i="1"/>
  <c r="AF52" i="1"/>
  <c r="AH213" i="1"/>
  <c r="AG213" i="1"/>
  <c r="AF213" i="1"/>
  <c r="AB213" i="3" s="1"/>
  <c r="AG199" i="1"/>
  <c r="AH199" i="1"/>
  <c r="AF199" i="1"/>
  <c r="AB199" i="3" s="1"/>
  <c r="AH274" i="1"/>
  <c r="AG274" i="1"/>
  <c r="AF274" i="1"/>
  <c r="AB274" i="3" s="1"/>
  <c r="AH90" i="1"/>
  <c r="AG90" i="1"/>
  <c r="AF90" i="1"/>
  <c r="AB90" i="3" s="1"/>
  <c r="AH235" i="1"/>
  <c r="AG235" i="1"/>
  <c r="AF235" i="1"/>
  <c r="AH299" i="1"/>
  <c r="AG299" i="1"/>
  <c r="AF299" i="1"/>
  <c r="AB299" i="3" s="1"/>
  <c r="AH257" i="1"/>
  <c r="AG257" i="1"/>
  <c r="AF257" i="1"/>
  <c r="AB257" i="3" s="1"/>
  <c r="AH114" i="1"/>
  <c r="AG114" i="1"/>
  <c r="AF114" i="1"/>
  <c r="AH88" i="1"/>
  <c r="AG88" i="1"/>
  <c r="AF88" i="1"/>
  <c r="AB88" i="3" s="1"/>
  <c r="AH173" i="1"/>
  <c r="AG173" i="1"/>
  <c r="AF173" i="1"/>
  <c r="AB173" i="3" s="1"/>
  <c r="AF29" i="1"/>
  <c r="AH29" i="1"/>
  <c r="AG29" i="1"/>
  <c r="AH248" i="1"/>
  <c r="AG248" i="1"/>
  <c r="AF248" i="1"/>
  <c r="AB248" i="3" s="1"/>
  <c r="AH126" i="1"/>
  <c r="AG126" i="1"/>
  <c r="AF126" i="1"/>
  <c r="AB126" i="3" s="1"/>
  <c r="AH84" i="1"/>
  <c r="AG84" i="1"/>
  <c r="AF84" i="1"/>
  <c r="AH267" i="1"/>
  <c r="AG267" i="1"/>
  <c r="AF267" i="1"/>
  <c r="AB267" i="3" s="1"/>
  <c r="AH158" i="1"/>
  <c r="AG158" i="1"/>
  <c r="AF158" i="1"/>
  <c r="AH38" i="1"/>
  <c r="AG38" i="1"/>
  <c r="AF38" i="1"/>
  <c r="AB38" i="3" s="1"/>
  <c r="AH42" i="1"/>
  <c r="AG42" i="1"/>
  <c r="AF42" i="1"/>
  <c r="AB42" i="3" s="1"/>
  <c r="AH254" i="1"/>
  <c r="AG254" i="1"/>
  <c r="AF254" i="1"/>
  <c r="AB254" i="3" s="1"/>
  <c r="AG290" i="1"/>
  <c r="AF290" i="1"/>
  <c r="AB290" i="3" s="1"/>
  <c r="AH290" i="1"/>
  <c r="AG208" i="1"/>
  <c r="AF208" i="1"/>
  <c r="AB208" i="3" s="1"/>
  <c r="AH208" i="1"/>
  <c r="AG280" i="1"/>
  <c r="AF280" i="1"/>
  <c r="AB280" i="3" s="1"/>
  <c r="AH280" i="1"/>
  <c r="AG129" i="1"/>
  <c r="AF129" i="1"/>
  <c r="AB129" i="3" s="1"/>
  <c r="AH129" i="1"/>
  <c r="AG111" i="1"/>
  <c r="AF111" i="1"/>
  <c r="AH111" i="1"/>
  <c r="AG243" i="1"/>
  <c r="AH243" i="1"/>
  <c r="AF243" i="1"/>
  <c r="AB243" i="3" s="1"/>
  <c r="AG304" i="1"/>
  <c r="AH304" i="1"/>
  <c r="AF304" i="1"/>
  <c r="AG308" i="1"/>
  <c r="AH308" i="1"/>
  <c r="AF308" i="1"/>
  <c r="AG302" i="1"/>
  <c r="AH302" i="1"/>
  <c r="AF302" i="1"/>
  <c r="AG289" i="1"/>
  <c r="AH289" i="1"/>
  <c r="AF289" i="1"/>
  <c r="AB289" i="3" s="1"/>
  <c r="AG17" i="1"/>
  <c r="AH17" i="1"/>
  <c r="AF17" i="1"/>
  <c r="AB17" i="3" s="1"/>
  <c r="AG180" i="1"/>
  <c r="AH180" i="1"/>
  <c r="AF180" i="1"/>
  <c r="AB180" i="3" s="1"/>
  <c r="AG204" i="1"/>
  <c r="AH204" i="1"/>
  <c r="AF204" i="1"/>
  <c r="AG44" i="1"/>
  <c r="AF44" i="1"/>
  <c r="AB44" i="3" s="1"/>
  <c r="AH44" i="1"/>
  <c r="AH187" i="1"/>
  <c r="AG187" i="1"/>
  <c r="AF187" i="1"/>
  <c r="AB187" i="3" s="1"/>
  <c r="AH278" i="1"/>
  <c r="AG278" i="1"/>
  <c r="AF278" i="1"/>
  <c r="AH11" i="1"/>
  <c r="AG11" i="1"/>
  <c r="AF11" i="1"/>
  <c r="AB11" i="3" s="1"/>
  <c r="AH4" i="1"/>
  <c r="AG4" i="1"/>
  <c r="AF4" i="1"/>
  <c r="AB4" i="3" s="1"/>
  <c r="AH206" i="1"/>
  <c r="AG206" i="1"/>
  <c r="AF206" i="1"/>
  <c r="AB206" i="3" s="1"/>
  <c r="AH147" i="1"/>
  <c r="AG147" i="1"/>
  <c r="AF147" i="1"/>
  <c r="AB147" i="3" s="1"/>
  <c r="AH151" i="1"/>
  <c r="AG151" i="1"/>
  <c r="AF151" i="1"/>
  <c r="AG228" i="1"/>
  <c r="AF228" i="1"/>
  <c r="AB228" i="3" s="1"/>
  <c r="AH228" i="1"/>
  <c r="AG168" i="1"/>
  <c r="AF168" i="1"/>
  <c r="AB168" i="3" s="1"/>
  <c r="AH168" i="1"/>
  <c r="AH177" i="1"/>
  <c r="AF177" i="1"/>
  <c r="AG177" i="1"/>
  <c r="AH194" i="1"/>
  <c r="AG194" i="1"/>
  <c r="AF194" i="1"/>
  <c r="AB194" i="3" s="1"/>
  <c r="AH110" i="1"/>
  <c r="AG110" i="1"/>
  <c r="AF110" i="1"/>
  <c r="AH160" i="1"/>
  <c r="AG160" i="1"/>
  <c r="AF160" i="1"/>
  <c r="AB160" i="3" s="1"/>
  <c r="AH317" i="1"/>
  <c r="AG317" i="1"/>
  <c r="AF317" i="1"/>
  <c r="AH144" i="1"/>
  <c r="AG144" i="1"/>
  <c r="AF144" i="1"/>
  <c r="AH25" i="1"/>
  <c r="AG25" i="1"/>
  <c r="AF25" i="1"/>
  <c r="AB25" i="3" s="1"/>
  <c r="AG196" i="1"/>
  <c r="AH196" i="1"/>
  <c r="AF196" i="1"/>
  <c r="AB196" i="3" s="1"/>
  <c r="AH309" i="1"/>
  <c r="AG309" i="1"/>
  <c r="AF309" i="1"/>
  <c r="AH239" i="1"/>
  <c r="AG239" i="1"/>
  <c r="AF239" i="1"/>
  <c r="AB239" i="3" s="1"/>
  <c r="AH62" i="1"/>
  <c r="AF62" i="1"/>
  <c r="AB62" i="3" s="1"/>
  <c r="AG62" i="1"/>
  <c r="AH61" i="1"/>
  <c r="AG61" i="1"/>
  <c r="AF61" i="1"/>
  <c r="AB61" i="3" s="1"/>
  <c r="AH16" i="1"/>
  <c r="AG16" i="1"/>
  <c r="AF16" i="1"/>
  <c r="AB16" i="3" s="1"/>
  <c r="AH149" i="1"/>
  <c r="AG149" i="1"/>
  <c r="AF149" i="1"/>
  <c r="AH81" i="1"/>
  <c r="AG81" i="1"/>
  <c r="AF81" i="1"/>
  <c r="AB81" i="3" s="1"/>
  <c r="AF72" i="1"/>
  <c r="AB72" i="3" s="1"/>
  <c r="AH72" i="1"/>
  <c r="AG72" i="1"/>
  <c r="AH101" i="1"/>
  <c r="AG101" i="1"/>
  <c r="AF101" i="1"/>
  <c r="AH184" i="1"/>
  <c r="AG184" i="1"/>
  <c r="AF184" i="1"/>
  <c r="AB184" i="3" s="1"/>
  <c r="AH142" i="1"/>
  <c r="AG142" i="1"/>
  <c r="AF142" i="1"/>
  <c r="AB142" i="3" s="1"/>
  <c r="AH266" i="1"/>
  <c r="AG266" i="1"/>
  <c r="AF266" i="1"/>
  <c r="AB266" i="3" s="1"/>
  <c r="AH247" i="1"/>
  <c r="AG247" i="1"/>
  <c r="AF247" i="1"/>
  <c r="AB247" i="3" s="1"/>
  <c r="AH93" i="1"/>
  <c r="AG93" i="1"/>
  <c r="AF93" i="1"/>
  <c r="AH68" i="1"/>
  <c r="AG68" i="1"/>
  <c r="AF68" i="1"/>
  <c r="AB68" i="3" s="1"/>
  <c r="AH78" i="1"/>
  <c r="AG78" i="1"/>
  <c r="AF78" i="1"/>
  <c r="AB78" i="3" s="1"/>
  <c r="AG159" i="1"/>
  <c r="AF159" i="1"/>
  <c r="AH159" i="1"/>
  <c r="AG100" i="1"/>
  <c r="AF100" i="1"/>
  <c r="AB100" i="3" s="1"/>
  <c r="AH100" i="1"/>
  <c r="AG130" i="1"/>
  <c r="AF130" i="1"/>
  <c r="AB130" i="3" s="1"/>
  <c r="AH130" i="1"/>
  <c r="AG205" i="1"/>
  <c r="AF205" i="1"/>
  <c r="AB205" i="3" s="1"/>
  <c r="AH205" i="1"/>
  <c r="AG265" i="1"/>
  <c r="AF265" i="1"/>
  <c r="AB265" i="3" s="1"/>
  <c r="AH265" i="1"/>
  <c r="AG287" i="1"/>
  <c r="AH287" i="1"/>
  <c r="AF287" i="1"/>
  <c r="AG281" i="1"/>
  <c r="AH281" i="1"/>
  <c r="AF281" i="1"/>
  <c r="AB281" i="3" s="1"/>
  <c r="AG146" i="1"/>
  <c r="AH146" i="1"/>
  <c r="AF146" i="1"/>
  <c r="AB146" i="3" s="1"/>
  <c r="AG41" i="1"/>
  <c r="AH41" i="1"/>
  <c r="AF41" i="1"/>
  <c r="AB41" i="3" s="1"/>
  <c r="AG115" i="1"/>
  <c r="AH115" i="1"/>
  <c r="AF115" i="1"/>
  <c r="AB115" i="3" s="1"/>
  <c r="AG15" i="1"/>
  <c r="AH15" i="1"/>
  <c r="AF15" i="1"/>
  <c r="AB15" i="3" s="1"/>
  <c r="AG276" i="1"/>
  <c r="AH276" i="1"/>
  <c r="AF276" i="1"/>
  <c r="AB276" i="3" s="1"/>
  <c r="AG8" i="1"/>
  <c r="AH8" i="1"/>
  <c r="AF8" i="1"/>
  <c r="AB8" i="3" s="1"/>
  <c r="AH24" i="1"/>
  <c r="AG24" i="1"/>
  <c r="AF24" i="1"/>
  <c r="AH222" i="1"/>
  <c r="AG222" i="1"/>
  <c r="AF222" i="1"/>
  <c r="AB222" i="3" s="1"/>
  <c r="AH150" i="1"/>
  <c r="AG150" i="1"/>
  <c r="AF150" i="1"/>
  <c r="AB150" i="3" s="1"/>
  <c r="AH46" i="1"/>
  <c r="AG46" i="1"/>
  <c r="AF46" i="1"/>
  <c r="AF75" i="1"/>
  <c r="AB75" i="3" s="1"/>
  <c r="AH75" i="1"/>
  <c r="AG75" i="1"/>
  <c r="AH241" i="1"/>
  <c r="AG241" i="1"/>
  <c r="AF241" i="1"/>
  <c r="AB241" i="3" s="1"/>
  <c r="AH87" i="1"/>
  <c r="AG87" i="1"/>
  <c r="AF87" i="1"/>
  <c r="AB87" i="3" s="1"/>
  <c r="AH69" i="1"/>
  <c r="AG69" i="1"/>
  <c r="AF69" i="1"/>
  <c r="AB69" i="3" s="1"/>
  <c r="AG103" i="1"/>
  <c r="AF103" i="1"/>
  <c r="AB103" i="3" s="1"/>
  <c r="AH103" i="1"/>
  <c r="AG157" i="1"/>
  <c r="AH157" i="1"/>
  <c r="AF157" i="1"/>
  <c r="AB157" i="3" s="1"/>
  <c r="AH200" i="1"/>
  <c r="AG200" i="1"/>
  <c r="AF200" i="1"/>
  <c r="AB200" i="3" s="1"/>
  <c r="AH293" i="1"/>
  <c r="AG293" i="1"/>
  <c r="AF293" i="1"/>
  <c r="AB293" i="3" s="1"/>
  <c r="AH201" i="1"/>
  <c r="AG201" i="1"/>
  <c r="AF201" i="1"/>
  <c r="AB201" i="3" s="1"/>
  <c r="AH162" i="1"/>
  <c r="AG162" i="1"/>
  <c r="AF162" i="1"/>
  <c r="AB162" i="3" s="1"/>
  <c r="AH135" i="1"/>
  <c r="AG135" i="1"/>
  <c r="AF135" i="1"/>
  <c r="AB135" i="3" s="1"/>
  <c r="AH156" i="1"/>
  <c r="AG156" i="1"/>
  <c r="AF156" i="1"/>
  <c r="AB156" i="3" s="1"/>
  <c r="AG28" i="1"/>
  <c r="AH28" i="1"/>
  <c r="AF28" i="1"/>
  <c r="AF169" i="1"/>
  <c r="AB169" i="3" s="1"/>
  <c r="AH169" i="1"/>
  <c r="AG169" i="1"/>
  <c r="AH183" i="1"/>
  <c r="AG183" i="1"/>
  <c r="AF183" i="1"/>
  <c r="AB183" i="3" s="1"/>
  <c r="AH323" i="1"/>
  <c r="AG323" i="1"/>
  <c r="AF323" i="1"/>
  <c r="AH21" i="1"/>
  <c r="AG21" i="1"/>
  <c r="AF21" i="1"/>
  <c r="AB21" i="3" s="1"/>
  <c r="AH94" i="1"/>
  <c r="AG94" i="1"/>
  <c r="AF94" i="1"/>
  <c r="AB94" i="3" s="1"/>
  <c r="AH275" i="1"/>
  <c r="AG275" i="1"/>
  <c r="AF275" i="1"/>
  <c r="AB275" i="3" s="1"/>
  <c r="AH7" i="1"/>
  <c r="AG7" i="1"/>
  <c r="AF7" i="1"/>
  <c r="AB7" i="3" s="1"/>
  <c r="AH316" i="1"/>
  <c r="AG316" i="1"/>
  <c r="AF316" i="1"/>
  <c r="AH286" i="1"/>
  <c r="AG286" i="1"/>
  <c r="AF286" i="1"/>
  <c r="AB286" i="3" s="1"/>
  <c r="AH277" i="1"/>
  <c r="AG277" i="1"/>
  <c r="AF277" i="1"/>
  <c r="AB277" i="3" s="1"/>
  <c r="AH36" i="1"/>
  <c r="AG36" i="1"/>
  <c r="AF36" i="1"/>
  <c r="AB36" i="3" s="1"/>
  <c r="AH50" i="1"/>
  <c r="AG50" i="1"/>
  <c r="AF50" i="1"/>
  <c r="AB50" i="3" s="1"/>
  <c r="AH256" i="1"/>
  <c r="AG256" i="1"/>
  <c r="AF256" i="1"/>
  <c r="AB256" i="3" s="1"/>
  <c r="AH152" i="1"/>
  <c r="AG152" i="1"/>
  <c r="AF152" i="1"/>
  <c r="AB152" i="3" s="1"/>
  <c r="AH85" i="1"/>
  <c r="AG85" i="1"/>
  <c r="AF85" i="1"/>
  <c r="AB85" i="3" s="1"/>
  <c r="AH269" i="1"/>
  <c r="AG269" i="1"/>
  <c r="AF269" i="1"/>
  <c r="AG106" i="1"/>
  <c r="AF106" i="1"/>
  <c r="AB106" i="3" s="1"/>
  <c r="AH106" i="1"/>
  <c r="AG154" i="1"/>
  <c r="AF154" i="1"/>
  <c r="AB154" i="3" s="1"/>
  <c r="AH154" i="1"/>
  <c r="AG35" i="1"/>
  <c r="AF35" i="1"/>
  <c r="AB35" i="3" s="1"/>
  <c r="AH35" i="1"/>
  <c r="AG216" i="1"/>
  <c r="AF216" i="1"/>
  <c r="AB216" i="3" s="1"/>
  <c r="AH216" i="1"/>
  <c r="AG31" i="1"/>
  <c r="AF31" i="1"/>
  <c r="AB31" i="3" s="1"/>
  <c r="AH31" i="1"/>
  <c r="AG128" i="1"/>
  <c r="AH128" i="1"/>
  <c r="AF128" i="1"/>
  <c r="AB128" i="3" s="1"/>
  <c r="AG57" i="1"/>
  <c r="AH57" i="1"/>
  <c r="AF57" i="1"/>
  <c r="AB57" i="3" s="1"/>
  <c r="AG83" i="1"/>
  <c r="AH83" i="1"/>
  <c r="AF83" i="1"/>
  <c r="AG307" i="1"/>
  <c r="AF307" i="1"/>
  <c r="AH307" i="1"/>
  <c r="AG246" i="1"/>
  <c r="AH246" i="1"/>
  <c r="AF246" i="1"/>
  <c r="AB246" i="3" s="1"/>
  <c r="AG185" i="1"/>
  <c r="AH185" i="1"/>
  <c r="AF185" i="1"/>
  <c r="AB185" i="3" s="1"/>
  <c r="AG53" i="1"/>
  <c r="AH53" i="1"/>
  <c r="AF53" i="1"/>
  <c r="AB53" i="3" s="1"/>
  <c r="AG138" i="1"/>
  <c r="AH138" i="1"/>
  <c r="AF138" i="1"/>
  <c r="AB138" i="3" s="1"/>
  <c r="AH104" i="1"/>
  <c r="AG104" i="1"/>
  <c r="AF104" i="1"/>
  <c r="AB104" i="3" s="1"/>
  <c r="AH96" i="1"/>
  <c r="AG96" i="1"/>
  <c r="AF96" i="1"/>
  <c r="AB96" i="3" s="1"/>
  <c r="AH179" i="1"/>
  <c r="AG179" i="1"/>
  <c r="AF179" i="1"/>
  <c r="AB179" i="3" s="1"/>
  <c r="AH112" i="1"/>
  <c r="AG112" i="1"/>
  <c r="AF112" i="1"/>
  <c r="AB112" i="3" s="1"/>
  <c r="AF261" i="1"/>
  <c r="AB261" i="3" s="1"/>
  <c r="AH261" i="1"/>
  <c r="AG261" i="1"/>
  <c r="AB188" i="3"/>
  <c r="AB291" i="3"/>
  <c r="AB235" i="3"/>
  <c r="AB40" i="3"/>
  <c r="AB54" i="3"/>
  <c r="AB251" i="3"/>
  <c r="AB86" i="3"/>
  <c r="AB140" i="3"/>
  <c r="AB47" i="3"/>
  <c r="AB273" i="3"/>
  <c r="AB117" i="3"/>
  <c r="AB120" i="3"/>
  <c r="AB76" i="3"/>
  <c r="AB158" i="3"/>
  <c r="AB5" i="3"/>
  <c r="AB149" i="3"/>
  <c r="AB234" i="3"/>
  <c r="AB249" i="3"/>
  <c r="AB253" i="3"/>
  <c r="AB80" i="3"/>
  <c r="AB110" i="3"/>
  <c r="AB99" i="3"/>
  <c r="AB176" i="3"/>
  <c r="AB232" i="3"/>
  <c r="AB285" i="3"/>
  <c r="AB37" i="3"/>
  <c r="AB192" i="3"/>
  <c r="AB144" i="3"/>
  <c r="W159" i="1"/>
  <c r="X159" i="1"/>
  <c r="Y159" i="1"/>
  <c r="AB24" i="3"/>
  <c r="AB131" i="3"/>
  <c r="AB29" i="3"/>
  <c r="AB93" i="3"/>
  <c r="AB39" i="3"/>
  <c r="AB43" i="3"/>
  <c r="AB165" i="3"/>
  <c r="AB204" i="3"/>
  <c r="AB287" i="3"/>
  <c r="AB170" i="3"/>
  <c r="AB197" i="3"/>
  <c r="AB10" i="3"/>
  <c r="AB210" i="3"/>
  <c r="AB288" i="3"/>
  <c r="AB51" i="3"/>
  <c r="AB225" i="3"/>
  <c r="AB34" i="3"/>
  <c r="AB163" i="3"/>
  <c r="AB278" i="3"/>
  <c r="AB133" i="3"/>
  <c r="AB218" i="3"/>
  <c r="AB220" i="3"/>
  <c r="AB30" i="3"/>
  <c r="AB221" i="3"/>
  <c r="AB177" i="3"/>
  <c r="AB46" i="3"/>
  <c r="AB175" i="3"/>
  <c r="AB300" i="3"/>
  <c r="AB56" i="3"/>
  <c r="AB238" i="3"/>
  <c r="AB191" i="3"/>
  <c r="AB262" i="3"/>
  <c r="AB148" i="3"/>
  <c r="AB52" i="3"/>
  <c r="AB91" i="3"/>
  <c r="AB119" i="3"/>
  <c r="AB178" i="3"/>
  <c r="W224" i="1"/>
  <c r="X224" i="1"/>
  <c r="Y224" i="1"/>
  <c r="W226" i="1"/>
  <c r="X226" i="1"/>
  <c r="Y226" i="1"/>
  <c r="W225" i="1"/>
  <c r="X225" i="1"/>
  <c r="Y225" i="1"/>
  <c r="W229" i="1"/>
  <c r="X229" i="1"/>
  <c r="Y229" i="1"/>
  <c r="W228" i="1"/>
  <c r="X228" i="1"/>
  <c r="Y228" i="1"/>
  <c r="W227" i="1"/>
  <c r="X227" i="1"/>
  <c r="Y227" i="1"/>
  <c r="AB13" i="3"/>
  <c r="AB264" i="3"/>
  <c r="AB167" i="3"/>
  <c r="AB263" i="3"/>
  <c r="AB114" i="3"/>
  <c r="AB217" i="3"/>
  <c r="AB28" i="3"/>
  <c r="AB294" i="3"/>
  <c r="AB83" i="3"/>
  <c r="AB159" i="3"/>
  <c r="AB268" i="3"/>
  <c r="AB92" i="3"/>
  <c r="AB125" i="3"/>
  <c r="AB124" i="3"/>
  <c r="AB172" i="3"/>
  <c r="AB269" i="3"/>
  <c r="AB84" i="3"/>
  <c r="AB283" i="3"/>
  <c r="AB101" i="3"/>
  <c r="AB203" i="3"/>
  <c r="AB108" i="3"/>
  <c r="AB166" i="3"/>
  <c r="AB198" i="3"/>
  <c r="AB19" i="3"/>
  <c r="AB271" i="3"/>
  <c r="AB49" i="3"/>
  <c r="AB297" i="3"/>
  <c r="AB223" i="3"/>
  <c r="AB45" i="3"/>
  <c r="W238" i="1"/>
  <c r="X238" i="1"/>
  <c r="Y238" i="1"/>
  <c r="W237" i="1"/>
  <c r="X237" i="1"/>
  <c r="Y237" i="1"/>
  <c r="X236" i="1"/>
  <c r="Y236" i="1"/>
  <c r="W236" i="1"/>
  <c r="AB151" i="3"/>
  <c r="AB111" i="3"/>
  <c r="AB67" i="3"/>
  <c r="AB224" i="3"/>
  <c r="AB22" i="3"/>
  <c r="AB284" i="3"/>
  <c r="AB272" i="3"/>
  <c r="AB14" i="3"/>
  <c r="AB9" i="3"/>
  <c r="AB132" i="3"/>
  <c r="AB189" i="3"/>
  <c r="AR2" i="1"/>
  <c r="AP2" i="1"/>
  <c r="AR6" i="1" l="1"/>
  <c r="G35" i="1" s="1"/>
  <c r="AP6" i="1"/>
  <c r="G61" i="1"/>
  <c r="G49" i="1"/>
  <c r="G19" i="1"/>
  <c r="G122" i="1"/>
  <c r="G92" i="1"/>
  <c r="G73" i="1"/>
  <c r="G3" i="1"/>
  <c r="G128" i="1"/>
  <c r="G14" i="1"/>
  <c r="G45" i="1"/>
  <c r="G15" i="1"/>
  <c r="G63" i="1"/>
  <c r="G88" i="1"/>
  <c r="G89" i="1"/>
  <c r="G129" i="1"/>
  <c r="G124" i="1"/>
  <c r="G85" i="1"/>
  <c r="G77" i="1"/>
  <c r="G104" i="1"/>
  <c r="G60" i="1"/>
  <c r="G16" i="1"/>
  <c r="G17" i="1"/>
  <c r="G72" i="1"/>
  <c r="G117" i="1"/>
  <c r="G121" i="1"/>
  <c r="G71" i="1"/>
  <c r="G13" i="1"/>
  <c r="G51" i="1"/>
  <c r="G50" i="1"/>
  <c r="G70" i="1"/>
  <c r="G114" i="1"/>
  <c r="G12" i="1"/>
  <c r="G91" i="1"/>
  <c r="G115" i="1"/>
  <c r="G54" i="1"/>
  <c r="G59" i="1"/>
  <c r="G106" i="1" l="1"/>
  <c r="G98" i="1"/>
  <c r="AR4" i="1" l="1"/>
  <c r="G18" i="1" s="1"/>
  <c r="AQ5" i="1"/>
  <c r="AQ6" i="1"/>
  <c r="AQ7" i="1"/>
  <c r="AQ8" i="1"/>
  <c r="AQ9" i="1"/>
  <c r="F98" i="1" s="1"/>
  <c r="C98" i="1" s="1"/>
  <c r="AP4" i="1"/>
  <c r="G2" i="1"/>
  <c r="G4" i="1"/>
  <c r="G5" i="1"/>
  <c r="G6" i="1"/>
  <c r="G7" i="1"/>
  <c r="G8" i="1"/>
  <c r="G9" i="1"/>
  <c r="G10" i="1"/>
  <c r="G11" i="1"/>
  <c r="G20" i="1"/>
  <c r="G21" i="1"/>
  <c r="G24" i="1"/>
  <c r="G25" i="1"/>
  <c r="G26" i="1"/>
  <c r="G27" i="1"/>
  <c r="G28" i="1"/>
  <c r="G29" i="1"/>
  <c r="G30" i="1"/>
  <c r="G31" i="1"/>
  <c r="G32" i="1"/>
  <c r="G33" i="1"/>
  <c r="G34" i="1"/>
  <c r="G36" i="1"/>
  <c r="G37" i="1"/>
  <c r="G38" i="1"/>
  <c r="G39" i="1"/>
  <c r="G40" i="1"/>
  <c r="G41" i="1"/>
  <c r="G42" i="1"/>
  <c r="G43" i="1"/>
  <c r="G44" i="1"/>
  <c r="G46" i="1"/>
  <c r="G47" i="1"/>
  <c r="G48" i="1"/>
  <c r="G52" i="1"/>
  <c r="G53" i="1"/>
  <c r="G55" i="1"/>
  <c r="G56" i="1"/>
  <c r="G62" i="1"/>
  <c r="G64" i="1"/>
  <c r="G65" i="1"/>
  <c r="G66" i="1"/>
  <c r="G67" i="1"/>
  <c r="G68" i="1"/>
  <c r="G69" i="1"/>
  <c r="G74" i="1"/>
  <c r="G75" i="1"/>
  <c r="G76" i="1"/>
  <c r="G78" i="1"/>
  <c r="G79" i="1"/>
  <c r="G80" i="1"/>
  <c r="G81" i="1"/>
  <c r="G82" i="1"/>
  <c r="G83" i="1"/>
  <c r="G84" i="1"/>
  <c r="G86" i="1"/>
  <c r="G87" i="1"/>
  <c r="G90" i="1"/>
  <c r="G94" i="1"/>
  <c r="G95" i="1"/>
  <c r="G96" i="1"/>
  <c r="G99" i="1"/>
  <c r="G100" i="1"/>
  <c r="G101" i="1"/>
  <c r="G102" i="1"/>
  <c r="G103" i="1"/>
  <c r="G105" i="1"/>
  <c r="G107" i="1"/>
  <c r="G108" i="1"/>
  <c r="G109" i="1"/>
  <c r="G110" i="1"/>
  <c r="G111" i="1"/>
  <c r="G112" i="1"/>
  <c r="G113" i="1"/>
  <c r="G116" i="1"/>
  <c r="G123" i="1"/>
  <c r="G125" i="1"/>
  <c r="G126" i="1"/>
  <c r="G127" i="1"/>
  <c r="G130" i="1"/>
  <c r="G131" i="1"/>
  <c r="G132" i="1"/>
  <c r="G133" i="1"/>
  <c r="G134" i="1"/>
  <c r="AR3" i="1"/>
  <c r="G58" i="1" s="1"/>
  <c r="AP3" i="1"/>
  <c r="H98" i="1" l="1"/>
  <c r="M98" i="1" s="1"/>
  <c r="N98" i="1" s="1"/>
  <c r="G119" i="1"/>
  <c r="F106" i="1"/>
  <c r="C106" i="1" s="1"/>
  <c r="F35" i="1"/>
  <c r="C35" i="1" s="1"/>
  <c r="G118" i="1"/>
  <c r="G23" i="1"/>
  <c r="G120" i="1"/>
  <c r="G22" i="1"/>
  <c r="G57" i="1"/>
  <c r="H35" i="1" l="1"/>
  <c r="M35" i="1" s="1"/>
  <c r="N35" i="1" s="1"/>
  <c r="H106" i="1"/>
  <c r="M106" i="1" s="1"/>
  <c r="N106" i="1" s="1"/>
  <c r="F90" i="1"/>
  <c r="C90" i="1" s="1"/>
  <c r="H90" i="1" l="1"/>
  <c r="M90" i="1" s="1"/>
  <c r="N90" i="1" s="1"/>
  <c r="F132" i="1"/>
  <c r="C132" i="1" s="1"/>
  <c r="F74" i="1"/>
  <c r="F78" i="1"/>
  <c r="C78" i="1" s="1"/>
  <c r="AN4" i="1"/>
  <c r="AQ4" i="1" s="1"/>
  <c r="AN3" i="1"/>
  <c r="AN2" i="1"/>
  <c r="AQ2" i="1" s="1"/>
  <c r="B22" i="1"/>
  <c r="B18" i="1"/>
  <c r="B119" i="1"/>
  <c r="B57" i="1"/>
  <c r="H78" i="1" l="1"/>
  <c r="M78" i="1" s="1"/>
  <c r="N78" i="1" s="1"/>
  <c r="H132" i="1"/>
  <c r="M132" i="1" s="1"/>
  <c r="N132" i="1" s="1"/>
  <c r="AQ3" i="1"/>
  <c r="F118" i="1" s="1"/>
  <c r="C118" i="1" s="1"/>
  <c r="F61" i="1"/>
  <c r="C61" i="1" s="1"/>
  <c r="F14" i="1"/>
  <c r="C14" i="1" s="1"/>
  <c r="F85" i="1"/>
  <c r="C85" i="1" s="1"/>
  <c r="F121" i="1"/>
  <c r="C121" i="1" s="1"/>
  <c r="F91" i="1"/>
  <c r="C91" i="1" s="1"/>
  <c r="F122" i="1"/>
  <c r="C122" i="1" s="1"/>
  <c r="F63" i="1"/>
  <c r="C63" i="1" s="1"/>
  <c r="F60" i="1"/>
  <c r="C60" i="1" s="1"/>
  <c r="F51" i="1"/>
  <c r="C51" i="1" s="1"/>
  <c r="F3" i="1"/>
  <c r="C3" i="1" s="1"/>
  <c r="F129" i="1"/>
  <c r="C129" i="1" s="1"/>
  <c r="F72" i="1"/>
  <c r="C72" i="1" s="1"/>
  <c r="F114" i="1"/>
  <c r="C114" i="1" s="1"/>
  <c r="F89" i="1"/>
  <c r="C89" i="1" s="1"/>
  <c r="F49" i="1"/>
  <c r="C49" i="1" s="1"/>
  <c r="F45" i="1"/>
  <c r="C45" i="1" s="1"/>
  <c r="F77" i="1"/>
  <c r="C77" i="1" s="1"/>
  <c r="F71" i="1"/>
  <c r="C71" i="1" s="1"/>
  <c r="F115" i="1"/>
  <c r="C115" i="1" s="1"/>
  <c r="F73" i="1"/>
  <c r="C73" i="1" s="1"/>
  <c r="F92" i="1"/>
  <c r="C92" i="1" s="1"/>
  <c r="F88" i="1"/>
  <c r="C88" i="1" s="1"/>
  <c r="F16" i="1"/>
  <c r="C16" i="1" s="1"/>
  <c r="F50" i="1"/>
  <c r="C50" i="1" s="1"/>
  <c r="F59" i="1"/>
  <c r="C59" i="1" s="1"/>
  <c r="F128" i="1"/>
  <c r="C128" i="1" s="1"/>
  <c r="F124" i="1"/>
  <c r="C124" i="1" s="1"/>
  <c r="F117" i="1"/>
  <c r="C117" i="1" s="1"/>
  <c r="F12" i="1"/>
  <c r="C12" i="1" s="1"/>
  <c r="F17" i="1"/>
  <c r="C17" i="1" s="1"/>
  <c r="F19" i="1"/>
  <c r="C19" i="1" s="1"/>
  <c r="F15" i="1"/>
  <c r="C15" i="1" s="1"/>
  <c r="F104" i="1"/>
  <c r="C104" i="1" s="1"/>
  <c r="F13" i="1"/>
  <c r="C13" i="1" s="1"/>
  <c r="F54" i="1"/>
  <c r="C54" i="1" s="1"/>
  <c r="F70" i="1"/>
  <c r="C70" i="1" s="1"/>
  <c r="F18" i="1"/>
  <c r="C18" i="1" s="1"/>
  <c r="F66" i="1"/>
  <c r="C66" i="1" s="1"/>
  <c r="F96" i="1"/>
  <c r="C96" i="1" s="1"/>
  <c r="F99" i="1"/>
  <c r="C99" i="1" s="1"/>
  <c r="F95" i="1"/>
  <c r="C95" i="1" s="1"/>
  <c r="F103" i="1"/>
  <c r="C103" i="1" s="1"/>
  <c r="F24" i="1"/>
  <c r="C24" i="1" s="1"/>
  <c r="F79" i="1"/>
  <c r="C79" i="1" s="1"/>
  <c r="F25" i="1"/>
  <c r="C25" i="1" s="1"/>
  <c r="F26" i="1"/>
  <c r="C26" i="1" s="1"/>
  <c r="F10" i="1"/>
  <c r="C10" i="1" s="1"/>
  <c r="F32" i="1"/>
  <c r="C32" i="1" s="1"/>
  <c r="F109" i="1"/>
  <c r="C109" i="1" s="1"/>
  <c r="F94" i="1"/>
  <c r="C94" i="1" s="1"/>
  <c r="F108" i="1"/>
  <c r="C108" i="1" s="1"/>
  <c r="F84" i="1"/>
  <c r="C84" i="1" s="1"/>
  <c r="F83" i="1"/>
  <c r="C83" i="1" s="1"/>
  <c r="F82" i="1"/>
  <c r="C82" i="1" s="1"/>
  <c r="F28" i="1"/>
  <c r="C28" i="1" s="1"/>
  <c r="F29" i="1"/>
  <c r="C29" i="1" s="1"/>
  <c r="F27" i="1"/>
  <c r="C27" i="1" s="1"/>
  <c r="F62" i="1"/>
  <c r="C62" i="1" s="1"/>
  <c r="F80" i="1"/>
  <c r="C80" i="1" s="1"/>
  <c r="F123" i="1"/>
  <c r="C123" i="1" s="1"/>
  <c r="F116" i="1"/>
  <c r="C116" i="1" s="1"/>
  <c r="F55" i="1"/>
  <c r="C55" i="1" s="1"/>
  <c r="F11" i="1"/>
  <c r="C11" i="1" s="1"/>
  <c r="F133" i="1"/>
  <c r="C133" i="1" s="1"/>
  <c r="F134" i="1"/>
  <c r="C134" i="1" s="1"/>
  <c r="F131" i="1"/>
  <c r="C131" i="1" s="1"/>
  <c r="F113" i="1"/>
  <c r="C113" i="1" s="1"/>
  <c r="F100" i="1"/>
  <c r="C100" i="1" s="1"/>
  <c r="F69" i="1"/>
  <c r="C69" i="1" s="1"/>
  <c r="F53" i="1"/>
  <c r="C53" i="1" s="1"/>
  <c r="F41" i="1"/>
  <c r="C41" i="1" s="1"/>
  <c r="F31" i="1"/>
  <c r="C31" i="1" s="1"/>
  <c r="F9" i="1"/>
  <c r="C9" i="1" s="1"/>
  <c r="F130" i="1"/>
  <c r="C130" i="1" s="1"/>
  <c r="F112" i="1"/>
  <c r="C112" i="1" s="1"/>
  <c r="F87" i="1"/>
  <c r="C87" i="1" s="1"/>
  <c r="F68" i="1"/>
  <c r="C68" i="1" s="1"/>
  <c r="F52" i="1"/>
  <c r="C52" i="1" s="1"/>
  <c r="F40" i="1"/>
  <c r="C40" i="1" s="1"/>
  <c r="F30" i="1"/>
  <c r="C30" i="1" s="1"/>
  <c r="F8" i="1"/>
  <c r="C8" i="1" s="1"/>
  <c r="F127" i="1"/>
  <c r="C127" i="1" s="1"/>
  <c r="F111" i="1"/>
  <c r="C111" i="1" s="1"/>
  <c r="F86" i="1"/>
  <c r="C86" i="1" s="1"/>
  <c r="F67" i="1"/>
  <c r="C67" i="1" s="1"/>
  <c r="F48" i="1"/>
  <c r="C48" i="1" s="1"/>
  <c r="F39" i="1"/>
  <c r="C39" i="1" s="1"/>
  <c r="F7" i="1"/>
  <c r="C7" i="1" s="1"/>
  <c r="F126" i="1"/>
  <c r="C126" i="1" s="1"/>
  <c r="F110" i="1"/>
  <c r="C110" i="1" s="1"/>
  <c r="F81" i="1"/>
  <c r="C81" i="1" s="1"/>
  <c r="F65" i="1"/>
  <c r="C65" i="1" s="1"/>
  <c r="F47" i="1"/>
  <c r="C47" i="1" s="1"/>
  <c r="F38" i="1"/>
  <c r="C38" i="1" s="1"/>
  <c r="F22" i="1"/>
  <c r="C22" i="1" s="1"/>
  <c r="F6" i="1"/>
  <c r="C6" i="1" s="1"/>
  <c r="F125" i="1"/>
  <c r="C125" i="1" s="1"/>
  <c r="F107" i="1"/>
  <c r="C107" i="1" s="1"/>
  <c r="F64" i="1"/>
  <c r="C64" i="1" s="1"/>
  <c r="F46" i="1"/>
  <c r="C46" i="1" s="1"/>
  <c r="F37" i="1"/>
  <c r="C37" i="1" s="1"/>
  <c r="F21" i="1"/>
  <c r="C21" i="1" s="1"/>
  <c r="F5" i="1"/>
  <c r="F105" i="1"/>
  <c r="C105" i="1" s="1"/>
  <c r="F76" i="1"/>
  <c r="C76" i="1" s="1"/>
  <c r="F44" i="1"/>
  <c r="C44" i="1" s="1"/>
  <c r="F36" i="1"/>
  <c r="C36" i="1" s="1"/>
  <c r="F20" i="1"/>
  <c r="C20" i="1" s="1"/>
  <c r="F4" i="1"/>
  <c r="C4" i="1" s="1"/>
  <c r="F119" i="1"/>
  <c r="C119" i="1" s="1"/>
  <c r="F102" i="1"/>
  <c r="C102" i="1" s="1"/>
  <c r="F75" i="1"/>
  <c r="C75" i="1" s="1"/>
  <c r="F57" i="1"/>
  <c r="C57" i="1" s="1"/>
  <c r="F43" i="1"/>
  <c r="C43" i="1" s="1"/>
  <c r="F34" i="1"/>
  <c r="C34" i="1" s="1"/>
  <c r="F2" i="1"/>
  <c r="C2" i="1" s="1"/>
  <c r="F101" i="1"/>
  <c r="C101" i="1" s="1"/>
  <c r="F56" i="1"/>
  <c r="C56" i="1" s="1"/>
  <c r="F42" i="1"/>
  <c r="C42" i="1" s="1"/>
  <c r="F33" i="1"/>
  <c r="C33" i="1" s="1"/>
  <c r="H107" i="1" l="1"/>
  <c r="M107" i="1" s="1"/>
  <c r="N107" i="1" s="1"/>
  <c r="H131" i="1"/>
  <c r="M131" i="1" s="1"/>
  <c r="N131" i="1" s="1"/>
  <c r="H103" i="1"/>
  <c r="M103" i="1" s="1"/>
  <c r="N103" i="1" s="1"/>
  <c r="H125" i="1"/>
  <c r="M125" i="1" s="1"/>
  <c r="N125" i="1" s="1"/>
  <c r="H8" i="1"/>
  <c r="M8" i="1" s="1"/>
  <c r="N8" i="1" s="1"/>
  <c r="H27" i="1"/>
  <c r="M27" i="1" s="1"/>
  <c r="N27" i="1" s="1"/>
  <c r="H59" i="1"/>
  <c r="M59" i="1" s="1"/>
  <c r="N59" i="1" s="1"/>
  <c r="H33" i="1"/>
  <c r="M33" i="1" s="1"/>
  <c r="N33" i="1" s="1"/>
  <c r="H105" i="1"/>
  <c r="M105" i="1" s="1"/>
  <c r="N105" i="1" s="1"/>
  <c r="H7" i="1"/>
  <c r="M7" i="1" s="1"/>
  <c r="N7" i="1" s="1"/>
  <c r="H31" i="1"/>
  <c r="M31" i="1" s="1"/>
  <c r="N31" i="1" s="1"/>
  <c r="H29" i="1"/>
  <c r="M29" i="1" s="1"/>
  <c r="N29" i="1" s="1"/>
  <c r="H32" i="1"/>
  <c r="M32" i="1" s="1"/>
  <c r="N32" i="1" s="1"/>
  <c r="H15" i="1"/>
  <c r="M15" i="1" s="1"/>
  <c r="N15" i="1" s="1"/>
  <c r="H50" i="1"/>
  <c r="M50" i="1" s="1"/>
  <c r="N50" i="1" s="1"/>
  <c r="H45" i="1"/>
  <c r="M45" i="1" s="1"/>
  <c r="N45" i="1" s="1"/>
  <c r="H118" i="1"/>
  <c r="M118" i="1" s="1"/>
  <c r="N118" i="1" s="1"/>
  <c r="H42" i="1"/>
  <c r="M42" i="1" s="1"/>
  <c r="N42" i="1" s="1"/>
  <c r="H102" i="1"/>
  <c r="M102" i="1" s="1"/>
  <c r="N102" i="1" s="1"/>
  <c r="H22" i="1"/>
  <c r="M22" i="1" s="1"/>
  <c r="N22" i="1" s="1"/>
  <c r="H39" i="1"/>
  <c r="M39" i="1" s="1"/>
  <c r="N39" i="1" s="1"/>
  <c r="H40" i="1"/>
  <c r="M40" i="1" s="1"/>
  <c r="N40" i="1" s="1"/>
  <c r="H41" i="1"/>
  <c r="M41" i="1" s="1"/>
  <c r="N41" i="1" s="1"/>
  <c r="H11" i="1"/>
  <c r="M11" i="1" s="1"/>
  <c r="N11" i="1" s="1"/>
  <c r="H28" i="1"/>
  <c r="M28" i="1" s="1"/>
  <c r="N28" i="1" s="1"/>
  <c r="H10" i="1"/>
  <c r="M10" i="1" s="1"/>
  <c r="N10" i="1" s="1"/>
  <c r="H96" i="1"/>
  <c r="M96" i="1" s="1"/>
  <c r="N96" i="1" s="1"/>
  <c r="H19" i="1"/>
  <c r="M19" i="1" s="1"/>
  <c r="N19" i="1" s="1"/>
  <c r="H16" i="1"/>
  <c r="M16" i="1" s="1"/>
  <c r="N16" i="1" s="1"/>
  <c r="H49" i="1"/>
  <c r="M49" i="1" s="1"/>
  <c r="N49" i="1" s="1"/>
  <c r="H63" i="1"/>
  <c r="M63" i="1" s="1"/>
  <c r="N63" i="1" s="1"/>
  <c r="H56" i="1"/>
  <c r="M56" i="1" s="1"/>
  <c r="N56" i="1" s="1"/>
  <c r="H53" i="1"/>
  <c r="M53" i="1" s="1"/>
  <c r="N53" i="1" s="1"/>
  <c r="H66" i="1"/>
  <c r="M66" i="1" s="1"/>
  <c r="N66" i="1" s="1"/>
  <c r="H17" i="1"/>
  <c r="M17" i="1" s="1"/>
  <c r="N17" i="1" s="1"/>
  <c r="H88" i="1"/>
  <c r="M88" i="1" s="1"/>
  <c r="N88" i="1" s="1"/>
  <c r="H89" i="1"/>
  <c r="M89" i="1" s="1"/>
  <c r="N89" i="1" s="1"/>
  <c r="H122" i="1"/>
  <c r="M122" i="1" s="1"/>
  <c r="N122" i="1" s="1"/>
  <c r="H44" i="1"/>
  <c r="M44" i="1" s="1"/>
  <c r="N44" i="1" s="1"/>
  <c r="H38" i="1"/>
  <c r="M38" i="1" s="1"/>
  <c r="N38" i="1" s="1"/>
  <c r="H55" i="1"/>
  <c r="M55" i="1" s="1"/>
  <c r="N55" i="1" s="1"/>
  <c r="H37" i="1"/>
  <c r="M37" i="1" s="1"/>
  <c r="N37" i="1" s="1"/>
  <c r="H68" i="1"/>
  <c r="M68" i="1" s="1"/>
  <c r="N68" i="1" s="1"/>
  <c r="H114" i="1"/>
  <c r="M114" i="1" s="1"/>
  <c r="N114" i="1" s="1"/>
  <c r="H91" i="1"/>
  <c r="M91" i="1" s="1"/>
  <c r="N91" i="1" s="1"/>
  <c r="H119" i="1"/>
  <c r="M119" i="1" s="1"/>
  <c r="N119" i="1" s="1"/>
  <c r="H48" i="1"/>
  <c r="M48" i="1" s="1"/>
  <c r="N48" i="1" s="1"/>
  <c r="H82" i="1"/>
  <c r="M82" i="1" s="1"/>
  <c r="N82" i="1" s="1"/>
  <c r="H101" i="1"/>
  <c r="M101" i="1" s="1"/>
  <c r="N101" i="1" s="1"/>
  <c r="H67" i="1"/>
  <c r="M67" i="1" s="1"/>
  <c r="N67" i="1" s="1"/>
  <c r="H116" i="1"/>
  <c r="M116" i="1" s="1"/>
  <c r="N116" i="1" s="1"/>
  <c r="H25" i="1"/>
  <c r="M25" i="1" s="1"/>
  <c r="N25" i="1" s="1"/>
  <c r="H92" i="1"/>
  <c r="M92" i="1" s="1"/>
  <c r="N92" i="1" s="1"/>
  <c r="H46" i="1"/>
  <c r="M46" i="1" s="1"/>
  <c r="N46" i="1" s="1"/>
  <c r="H100" i="1"/>
  <c r="M100" i="1" s="1"/>
  <c r="N100" i="1" s="1"/>
  <c r="H121" i="1"/>
  <c r="M121" i="1" s="1"/>
  <c r="N121" i="1" s="1"/>
  <c r="H21" i="1"/>
  <c r="M21" i="1" s="1"/>
  <c r="N21" i="1" s="1"/>
  <c r="H52" i="1"/>
  <c r="M52" i="1" s="1"/>
  <c r="N52" i="1" s="1"/>
  <c r="H26" i="1"/>
  <c r="M26" i="1" s="1"/>
  <c r="N26" i="1" s="1"/>
  <c r="H4" i="1"/>
  <c r="M4" i="1" s="1"/>
  <c r="N4" i="1" s="1"/>
  <c r="H47" i="1"/>
  <c r="M47" i="1" s="1"/>
  <c r="N47" i="1" s="1"/>
  <c r="H69" i="1"/>
  <c r="M69" i="1" s="1"/>
  <c r="N69" i="1" s="1"/>
  <c r="H83" i="1"/>
  <c r="M83" i="1" s="1"/>
  <c r="N83" i="1" s="1"/>
  <c r="H12" i="1"/>
  <c r="M12" i="1" s="1"/>
  <c r="N12" i="1" s="1"/>
  <c r="H2" i="1"/>
  <c r="M2" i="1" s="1"/>
  <c r="N2" i="1" s="1"/>
  <c r="H20" i="1"/>
  <c r="M20" i="1" s="1"/>
  <c r="N20" i="1" s="1"/>
  <c r="H65" i="1"/>
  <c r="M65" i="1" s="1"/>
  <c r="N65" i="1" s="1"/>
  <c r="H86" i="1"/>
  <c r="M86" i="1" s="1"/>
  <c r="N86" i="1" s="1"/>
  <c r="H87" i="1"/>
  <c r="M87" i="1" s="1"/>
  <c r="N87" i="1" s="1"/>
  <c r="H123" i="1"/>
  <c r="M123" i="1" s="1"/>
  <c r="N123" i="1" s="1"/>
  <c r="H84" i="1"/>
  <c r="M84" i="1" s="1"/>
  <c r="N84" i="1" s="1"/>
  <c r="H79" i="1"/>
  <c r="M79" i="1" s="1"/>
  <c r="N79" i="1" s="1"/>
  <c r="H70" i="1"/>
  <c r="M70" i="1" s="1"/>
  <c r="N70" i="1" s="1"/>
  <c r="H117" i="1"/>
  <c r="M117" i="1" s="1"/>
  <c r="N117" i="1" s="1"/>
  <c r="H73" i="1"/>
  <c r="M73" i="1" s="1"/>
  <c r="N73" i="1" s="1"/>
  <c r="H72" i="1"/>
  <c r="M72" i="1" s="1"/>
  <c r="N72" i="1" s="1"/>
  <c r="H34" i="1"/>
  <c r="M34" i="1" s="1"/>
  <c r="N34" i="1" s="1"/>
  <c r="H36" i="1"/>
  <c r="M36" i="1" s="1"/>
  <c r="N36" i="1" s="1"/>
  <c r="H64" i="1"/>
  <c r="M64" i="1" s="1"/>
  <c r="N64" i="1" s="1"/>
  <c r="H81" i="1"/>
  <c r="M81" i="1" s="1"/>
  <c r="N81" i="1" s="1"/>
  <c r="H111" i="1"/>
  <c r="M111" i="1" s="1"/>
  <c r="N111" i="1" s="1"/>
  <c r="H112" i="1"/>
  <c r="M112" i="1" s="1"/>
  <c r="N112" i="1" s="1"/>
  <c r="H113" i="1"/>
  <c r="M113" i="1" s="1"/>
  <c r="N113" i="1" s="1"/>
  <c r="H80" i="1"/>
  <c r="M80" i="1" s="1"/>
  <c r="N80" i="1" s="1"/>
  <c r="H108" i="1"/>
  <c r="M108" i="1" s="1"/>
  <c r="N108" i="1" s="1"/>
  <c r="H24" i="1"/>
  <c r="M24" i="1" s="1"/>
  <c r="N24" i="1" s="1"/>
  <c r="H54" i="1"/>
  <c r="M54" i="1" s="1"/>
  <c r="N54" i="1" s="1"/>
  <c r="H124" i="1"/>
  <c r="M124" i="1" s="1"/>
  <c r="N124" i="1" s="1"/>
  <c r="H115" i="1"/>
  <c r="M115" i="1" s="1"/>
  <c r="N115" i="1" s="1"/>
  <c r="H129" i="1"/>
  <c r="M129" i="1" s="1"/>
  <c r="N129" i="1" s="1"/>
  <c r="H85" i="1"/>
  <c r="M85" i="1" s="1"/>
  <c r="N85" i="1" s="1"/>
  <c r="H127" i="1"/>
  <c r="M127" i="1" s="1"/>
  <c r="N127" i="1" s="1"/>
  <c r="H94" i="1"/>
  <c r="M94" i="1" s="1"/>
  <c r="N94" i="1" s="1"/>
  <c r="H13" i="1"/>
  <c r="M13" i="1" s="1"/>
  <c r="N13" i="1" s="1"/>
  <c r="H128" i="1"/>
  <c r="M128" i="1" s="1"/>
  <c r="N128" i="1" s="1"/>
  <c r="H71" i="1"/>
  <c r="M71" i="1" s="1"/>
  <c r="N71" i="1" s="1"/>
  <c r="H3" i="1"/>
  <c r="M3" i="1" s="1"/>
  <c r="N3" i="1" s="1"/>
  <c r="H14" i="1"/>
  <c r="M14" i="1" s="1"/>
  <c r="N14" i="1" s="1"/>
  <c r="H110" i="1"/>
  <c r="M110" i="1" s="1"/>
  <c r="N110" i="1" s="1"/>
  <c r="H62" i="1"/>
  <c r="M62" i="1" s="1"/>
  <c r="N62" i="1" s="1"/>
  <c r="H76" i="1"/>
  <c r="M76" i="1" s="1"/>
  <c r="N76" i="1" s="1"/>
  <c r="H9" i="1"/>
  <c r="M9" i="1" s="1"/>
  <c r="N9" i="1" s="1"/>
  <c r="H95" i="1"/>
  <c r="M95" i="1" s="1"/>
  <c r="N95" i="1" s="1"/>
  <c r="H77" i="1"/>
  <c r="M77" i="1" s="1"/>
  <c r="N77" i="1" s="1"/>
  <c r="H51" i="1"/>
  <c r="M51" i="1" s="1"/>
  <c r="N51" i="1" s="1"/>
  <c r="H61" i="1"/>
  <c r="M61" i="1" s="1"/>
  <c r="N61" i="1" s="1"/>
  <c r="H43" i="1"/>
  <c r="M43" i="1" s="1"/>
  <c r="N43" i="1" s="1"/>
  <c r="H130" i="1"/>
  <c r="M130" i="1" s="1"/>
  <c r="N130" i="1" s="1"/>
  <c r="H57" i="1"/>
  <c r="M57" i="1" s="1"/>
  <c r="N57" i="1" s="1"/>
  <c r="H126" i="1"/>
  <c r="M126" i="1" s="1"/>
  <c r="N126" i="1" s="1"/>
  <c r="H134" i="1"/>
  <c r="M134" i="1" s="1"/>
  <c r="N134" i="1" s="1"/>
  <c r="H109" i="1"/>
  <c r="M109" i="1" s="1"/>
  <c r="N109" i="1" s="1"/>
  <c r="H104" i="1"/>
  <c r="M104" i="1" s="1"/>
  <c r="N104" i="1" s="1"/>
  <c r="H75" i="1"/>
  <c r="M75" i="1" s="1"/>
  <c r="N75" i="1" s="1"/>
  <c r="H6" i="1"/>
  <c r="M6" i="1" s="1"/>
  <c r="N6" i="1" s="1"/>
  <c r="H30" i="1"/>
  <c r="M30" i="1" s="1"/>
  <c r="N30" i="1" s="1"/>
  <c r="H133" i="1"/>
  <c r="M133" i="1" s="1"/>
  <c r="N133" i="1" s="1"/>
  <c r="H99" i="1"/>
  <c r="M99" i="1" s="1"/>
  <c r="N99" i="1" s="1"/>
  <c r="H60" i="1"/>
  <c r="M60" i="1" s="1"/>
  <c r="N60" i="1" s="1"/>
  <c r="H18" i="1"/>
  <c r="M18" i="1" s="1"/>
  <c r="N18" i="1" s="1"/>
  <c r="F120" i="1"/>
  <c r="C120" i="1" s="1"/>
  <c r="F58" i="1"/>
  <c r="C58" i="1" s="1"/>
  <c r="F23" i="1"/>
  <c r="C23" i="1" s="1"/>
  <c r="C74" i="1"/>
  <c r="H23" i="1" l="1"/>
  <c r="M23" i="1" s="1"/>
  <c r="N23" i="1" s="1"/>
  <c r="H120" i="1"/>
  <c r="M120" i="1" s="1"/>
  <c r="N120" i="1" s="1"/>
  <c r="H58" i="1"/>
  <c r="M58" i="1" s="1"/>
  <c r="N58" i="1" s="1"/>
  <c r="H74" i="1"/>
  <c r="F4" i="4"/>
  <c r="B5" i="1"/>
  <c r="C5" i="1" s="1"/>
  <c r="J2" i="4" l="1"/>
  <c r="M74" i="1"/>
  <c r="N74" i="1" s="1"/>
  <c r="L74" i="1"/>
  <c r="L2" i="4"/>
  <c r="K2" i="4"/>
  <c r="H5" i="1"/>
  <c r="L42" i="1"/>
  <c r="L106" i="1"/>
  <c r="L99" i="1"/>
  <c r="L64" i="1"/>
  <c r="L44" i="1"/>
  <c r="L9" i="1"/>
  <c r="L120" i="1"/>
  <c r="L19" i="1"/>
  <c r="L115" i="1"/>
  <c r="L90" i="1"/>
  <c r="L49" i="1"/>
  <c r="L16" i="1"/>
  <c r="L112" i="1"/>
  <c r="L84" i="1"/>
  <c r="L43" i="1"/>
  <c r="L20" i="1"/>
  <c r="L123" i="1"/>
  <c r="L127" i="1"/>
  <c r="L95" i="1"/>
  <c r="L133" i="1"/>
  <c r="L88" i="1"/>
  <c r="L39" i="1"/>
  <c r="L33" i="1"/>
  <c r="L134" i="1"/>
  <c r="L117" i="1"/>
  <c r="L71" i="1"/>
  <c r="L54" i="1"/>
  <c r="L7" i="1"/>
  <c r="L102" i="1"/>
  <c r="L81" i="1"/>
  <c r="L61" i="1"/>
  <c r="L17" i="1"/>
  <c r="L122" i="1"/>
  <c r="L91" i="1"/>
  <c r="L57" i="1"/>
  <c r="L107" i="1"/>
  <c r="L70" i="1"/>
  <c r="L24" i="1"/>
  <c r="L32" i="1"/>
  <c r="L96" i="1"/>
  <c r="L68" i="1"/>
  <c r="L31" i="1"/>
  <c r="L4" i="1"/>
  <c r="L41" i="1"/>
  <c r="L21" i="1"/>
  <c r="L132" i="1"/>
  <c r="L72" i="1"/>
  <c r="L66" i="1"/>
  <c r="L8" i="1"/>
  <c r="L2" i="1"/>
  <c r="L79" i="1"/>
  <c r="L48" i="1"/>
  <c r="L30" i="1"/>
  <c r="L67" i="1"/>
  <c r="L111" i="1"/>
  <c r="L6" i="1"/>
  <c r="L92" i="1"/>
  <c r="L50" i="1"/>
  <c r="L28" i="1"/>
  <c r="L131" i="1"/>
  <c r="L119" i="1"/>
  <c r="L26" i="1"/>
  <c r="L53" i="1"/>
  <c r="L46" i="1"/>
  <c r="L114" i="1"/>
  <c r="L116" i="1"/>
  <c r="L76" i="1"/>
  <c r="L98" i="1"/>
  <c r="L27" i="1"/>
  <c r="L121" i="1"/>
  <c r="L94" i="1"/>
  <c r="L3" i="1"/>
  <c r="L36" i="1"/>
  <c r="L69" i="1"/>
  <c r="L89" i="1"/>
  <c r="L124" i="1"/>
  <c r="L78" i="1"/>
  <c r="L58" i="1"/>
  <c r="L14" i="1"/>
  <c r="L45" i="1"/>
  <c r="L77" i="1"/>
  <c r="L130" i="1"/>
  <c r="L37" i="1"/>
  <c r="L15" i="1"/>
  <c r="L118" i="1"/>
  <c r="L100" i="1"/>
  <c r="L55" i="1"/>
  <c r="L29" i="1"/>
  <c r="L80" i="1"/>
  <c r="L10" i="1"/>
  <c r="L104" i="1"/>
  <c r="L75" i="1"/>
  <c r="L38" i="1"/>
  <c r="L11" i="1"/>
  <c r="L103" i="1"/>
  <c r="L82" i="1"/>
  <c r="L12" i="1"/>
  <c r="L105" i="1"/>
  <c r="L101" i="1"/>
  <c r="L35" i="1"/>
  <c r="L108" i="1"/>
  <c r="L13" i="1"/>
  <c r="L113" i="1"/>
  <c r="L109" i="1"/>
  <c r="L86" i="1"/>
  <c r="L52" i="1"/>
  <c r="L34" i="1"/>
  <c r="L128" i="1"/>
  <c r="L62" i="1"/>
  <c r="L65" i="1"/>
  <c r="L129" i="1"/>
  <c r="L63" i="1"/>
  <c r="L18" i="1"/>
  <c r="L110" i="1"/>
  <c r="L73" i="1"/>
  <c r="L47" i="1"/>
  <c r="L83" i="1"/>
  <c r="L40" i="1"/>
  <c r="L22" i="1"/>
  <c r="L125" i="1"/>
  <c r="L85" i="1"/>
  <c r="L59" i="1"/>
  <c r="L25" i="1"/>
  <c r="L56" i="1"/>
  <c r="L87" i="1"/>
  <c r="L126" i="1"/>
  <c r="L23" i="1"/>
  <c r="L60" i="1"/>
  <c r="L51" i="1"/>
  <c r="L5" i="1" l="1"/>
  <c r="M5" i="1"/>
  <c r="N5" i="1" s="1"/>
  <c r="O5" i="1" s="1"/>
  <c r="O23" i="1"/>
  <c r="O44" i="1"/>
  <c r="O83" i="1"/>
  <c r="O108" i="1"/>
  <c r="O100" i="1"/>
  <c r="O53" i="1"/>
  <c r="O39" i="1"/>
  <c r="O56" i="1"/>
  <c r="O47" i="1"/>
  <c r="O128" i="1"/>
  <c r="O35" i="1"/>
  <c r="O75" i="1"/>
  <c r="O118" i="1"/>
  <c r="O78" i="1"/>
  <c r="O121" i="1"/>
  <c r="O26" i="1"/>
  <c r="O67" i="1"/>
  <c r="O132" i="1"/>
  <c r="O24" i="1"/>
  <c r="O81" i="1"/>
  <c r="O84" i="1"/>
  <c r="O9" i="1"/>
  <c r="O25" i="1"/>
  <c r="O101" i="1"/>
  <c r="O15" i="1"/>
  <c r="O27" i="1"/>
  <c r="O30" i="1"/>
  <c r="O112" i="1"/>
  <c r="O34" i="1"/>
  <c r="O104" i="1"/>
  <c r="O124" i="1"/>
  <c r="O119" i="1"/>
  <c r="O21" i="1"/>
  <c r="O70" i="1"/>
  <c r="O102" i="1"/>
  <c r="O88" i="1"/>
  <c r="O42" i="1"/>
  <c r="O59" i="1"/>
  <c r="O110" i="1"/>
  <c r="O52" i="1"/>
  <c r="O105" i="1"/>
  <c r="O10" i="1"/>
  <c r="O37" i="1"/>
  <c r="O98" i="1"/>
  <c r="O131" i="1"/>
  <c r="O48" i="1"/>
  <c r="O41" i="1"/>
  <c r="O107" i="1"/>
  <c r="O7" i="1"/>
  <c r="O16" i="1"/>
  <c r="O64" i="1"/>
  <c r="O51" i="1"/>
  <c r="O18" i="1"/>
  <c r="O12" i="1"/>
  <c r="O130" i="1"/>
  <c r="O76" i="1"/>
  <c r="O28" i="1"/>
  <c r="O79" i="1"/>
  <c r="O4" i="1"/>
  <c r="O57" i="1"/>
  <c r="O54" i="1"/>
  <c r="O95" i="1"/>
  <c r="O49" i="1"/>
  <c r="O99" i="1"/>
  <c r="O85" i="1"/>
  <c r="O86" i="1"/>
  <c r="O80" i="1"/>
  <c r="O89" i="1"/>
  <c r="O60" i="1"/>
  <c r="O125" i="1"/>
  <c r="O63" i="1"/>
  <c r="O109" i="1"/>
  <c r="O82" i="1"/>
  <c r="O74" i="1"/>
  <c r="O77" i="1"/>
  <c r="O69" i="1"/>
  <c r="O116" i="1"/>
  <c r="O50" i="1"/>
  <c r="O2" i="1"/>
  <c r="O31" i="1"/>
  <c r="O91" i="1"/>
  <c r="O71" i="1"/>
  <c r="O127" i="1"/>
  <c r="O90" i="1"/>
  <c r="O106" i="1"/>
  <c r="O22" i="1"/>
  <c r="O113" i="1"/>
  <c r="O45" i="1"/>
  <c r="O114" i="1"/>
  <c r="O122" i="1"/>
  <c r="O133" i="1"/>
  <c r="O129" i="1"/>
  <c r="O103" i="1"/>
  <c r="O29" i="1"/>
  <c r="O36" i="1"/>
  <c r="O92" i="1"/>
  <c r="O8" i="1"/>
  <c r="O68" i="1"/>
  <c r="O117" i="1"/>
  <c r="O123" i="1"/>
  <c r="O115" i="1"/>
  <c r="O126" i="1"/>
  <c r="O40" i="1"/>
  <c r="O65" i="1"/>
  <c r="O13" i="1"/>
  <c r="O11" i="1"/>
  <c r="O55" i="1"/>
  <c r="O14" i="1"/>
  <c r="O3" i="1"/>
  <c r="O46" i="1"/>
  <c r="O6" i="1"/>
  <c r="O66" i="1"/>
  <c r="O96" i="1"/>
  <c r="O17" i="1"/>
  <c r="O134" i="1"/>
  <c r="O20" i="1"/>
  <c r="O19" i="1"/>
  <c r="O73" i="1"/>
  <c r="O87" i="1"/>
  <c r="O62" i="1"/>
  <c r="O38" i="1"/>
  <c r="O58" i="1"/>
  <c r="O94" i="1"/>
  <c r="O111" i="1"/>
  <c r="O72" i="1"/>
  <c r="O32" i="1"/>
  <c r="O61" i="1"/>
  <c r="O33" i="1"/>
  <c r="O43" i="1"/>
  <c r="O120" i="1"/>
  <c r="P93" i="1" l="1"/>
  <c r="P97" i="1"/>
  <c r="P49" i="1"/>
  <c r="N49" i="3" s="1"/>
  <c r="P61" i="1"/>
  <c r="N61" i="3" s="1"/>
  <c r="P19" i="1"/>
  <c r="N19" i="3" s="1"/>
  <c r="P92" i="1"/>
  <c r="N92" i="3" s="1"/>
  <c r="P122" i="1"/>
  <c r="P15" i="1"/>
  <c r="N15" i="3" s="1"/>
  <c r="P73" i="1"/>
  <c r="N73" i="3" s="1"/>
  <c r="P128" i="1"/>
  <c r="P3" i="1"/>
  <c r="N3" i="3" s="1"/>
  <c r="P14" i="1"/>
  <c r="N14" i="3" s="1"/>
  <c r="P45" i="1"/>
  <c r="N45" i="3" s="1"/>
  <c r="P104" i="1"/>
  <c r="P63" i="1"/>
  <c r="N63" i="3" s="1"/>
  <c r="P88" i="1"/>
  <c r="N88" i="3" s="1"/>
  <c r="P89" i="1"/>
  <c r="N89" i="3" s="1"/>
  <c r="P129" i="1"/>
  <c r="P124" i="1"/>
  <c r="P85" i="1"/>
  <c r="N85" i="3" s="1"/>
  <c r="P77" i="1"/>
  <c r="N77" i="3" s="1"/>
  <c r="P121" i="1"/>
  <c r="P60" i="1"/>
  <c r="N60" i="3" s="1"/>
  <c r="P16" i="1"/>
  <c r="N16" i="3" s="1"/>
  <c r="P17" i="1"/>
  <c r="N17" i="3" s="1"/>
  <c r="P72" i="1"/>
  <c r="N72" i="3" s="1"/>
  <c r="P117" i="1"/>
  <c r="P71" i="1"/>
  <c r="N71" i="3" s="1"/>
  <c r="P51" i="1"/>
  <c r="N51" i="3" s="1"/>
  <c r="P13" i="1"/>
  <c r="N13" i="3" s="1"/>
  <c r="P50" i="1"/>
  <c r="N50" i="3" s="1"/>
  <c r="P12" i="1"/>
  <c r="N12" i="3" s="1"/>
  <c r="P70" i="1"/>
  <c r="N70" i="3" s="1"/>
  <c r="P114" i="1"/>
  <c r="P91" i="1"/>
  <c r="N91" i="3" s="1"/>
  <c r="P115" i="1"/>
  <c r="P54" i="1"/>
  <c r="N54" i="3" s="1"/>
  <c r="P59" i="1"/>
  <c r="N59" i="3" s="1"/>
  <c r="P35" i="1"/>
  <c r="N35" i="3" s="1"/>
  <c r="P98" i="1"/>
  <c r="P106" i="1"/>
  <c r="P95" i="1"/>
  <c r="P66" i="1"/>
  <c r="N66" i="3" s="1"/>
  <c r="P96" i="1"/>
  <c r="P99" i="1"/>
  <c r="P10" i="1"/>
  <c r="N10" i="3" s="1"/>
  <c r="P103" i="1"/>
  <c r="P79" i="1"/>
  <c r="N79" i="3" s="1"/>
  <c r="P25" i="1"/>
  <c r="N25" i="3" s="1"/>
  <c r="P26" i="1"/>
  <c r="N26" i="3" s="1"/>
  <c r="P24" i="1"/>
  <c r="N24" i="3" s="1"/>
  <c r="P32" i="1"/>
  <c r="N32" i="3" s="1"/>
  <c r="P108" i="1"/>
  <c r="P94" i="1"/>
  <c r="P84" i="1"/>
  <c r="N84" i="3" s="1"/>
  <c r="P83" i="1"/>
  <c r="N83" i="3" s="1"/>
  <c r="P82" i="1"/>
  <c r="N82" i="3" s="1"/>
  <c r="P109" i="1"/>
  <c r="P28" i="1"/>
  <c r="N28" i="3" s="1"/>
  <c r="P29" i="1"/>
  <c r="N29" i="3" s="1"/>
  <c r="P27" i="1"/>
  <c r="N27" i="3" s="1"/>
  <c r="P80" i="1"/>
  <c r="N80" i="3" s="1"/>
  <c r="P62" i="1"/>
  <c r="N62" i="3" s="1"/>
  <c r="P116" i="1"/>
  <c r="P123" i="1"/>
  <c r="P90" i="1"/>
  <c r="N90" i="3" s="1"/>
  <c r="P55" i="1"/>
  <c r="N55" i="3" s="1"/>
  <c r="P134" i="1"/>
  <c r="P133" i="1"/>
  <c r="P119" i="1"/>
  <c r="P18" i="1"/>
  <c r="N18" i="3" s="1"/>
  <c r="P22" i="1"/>
  <c r="N22" i="3" s="1"/>
  <c r="P57" i="1"/>
  <c r="N57" i="3" s="1"/>
  <c r="P86" i="1"/>
  <c r="N86" i="3" s="1"/>
  <c r="P31" i="1"/>
  <c r="N31" i="3" s="1"/>
  <c r="P120" i="1"/>
  <c r="P81" i="1"/>
  <c r="N81" i="3" s="1"/>
  <c r="P52" i="1"/>
  <c r="N52" i="3" s="1"/>
  <c r="P44" i="1"/>
  <c r="N44" i="3" s="1"/>
  <c r="P69" i="1"/>
  <c r="N69" i="3" s="1"/>
  <c r="P87" i="1"/>
  <c r="N87" i="3" s="1"/>
  <c r="P105" i="1"/>
  <c r="P2" i="1"/>
  <c r="N2" i="3" s="1"/>
  <c r="P74" i="1"/>
  <c r="N74" i="3" s="1"/>
  <c r="P126" i="1"/>
  <c r="P132" i="1"/>
  <c r="P118" i="1"/>
  <c r="P127" i="1"/>
  <c r="P20" i="1"/>
  <c r="N20" i="3" s="1"/>
  <c r="P64" i="1"/>
  <c r="N64" i="3" s="1"/>
  <c r="P30" i="1"/>
  <c r="N30" i="3" s="1"/>
  <c r="P46" i="1"/>
  <c r="N46" i="3" s="1"/>
  <c r="P34" i="1"/>
  <c r="N34" i="3" s="1"/>
  <c r="P9" i="1"/>
  <c r="N9" i="3" s="1"/>
  <c r="P102" i="1"/>
  <c r="P5" i="1"/>
  <c r="N5" i="3" s="1"/>
  <c r="P100" i="1"/>
  <c r="P101" i="1"/>
  <c r="P111" i="1"/>
  <c r="P43" i="1"/>
  <c r="N43" i="3" s="1"/>
  <c r="P112" i="1"/>
  <c r="P65" i="1"/>
  <c r="N65" i="3" s="1"/>
  <c r="P39" i="1"/>
  <c r="N39" i="3" s="1"/>
  <c r="P53" i="1"/>
  <c r="N53" i="3" s="1"/>
  <c r="P11" i="1"/>
  <c r="N11" i="3" s="1"/>
  <c r="P125" i="1"/>
  <c r="P47" i="1"/>
  <c r="N47" i="3" s="1"/>
  <c r="P68" i="1"/>
  <c r="N68" i="3" s="1"/>
  <c r="P48" i="1"/>
  <c r="N48" i="3" s="1"/>
  <c r="P75" i="1"/>
  <c r="N75" i="3" s="1"/>
  <c r="P67" i="1"/>
  <c r="N67" i="3" s="1"/>
  <c r="P36" i="1"/>
  <c r="N36" i="3" s="1"/>
  <c r="P40" i="1"/>
  <c r="N40" i="3" s="1"/>
  <c r="P110" i="1"/>
  <c r="P42" i="1"/>
  <c r="N42" i="3" s="1"/>
  <c r="P38" i="1"/>
  <c r="N38" i="3" s="1"/>
  <c r="P131" i="1"/>
  <c r="P41" i="1"/>
  <c r="N41" i="3" s="1"/>
  <c r="P37" i="1"/>
  <c r="N37" i="3" s="1"/>
  <c r="P76" i="1"/>
  <c r="N76" i="3" s="1"/>
  <c r="P130" i="1"/>
  <c r="P113" i="1"/>
  <c r="P56" i="1"/>
  <c r="N56" i="3" s="1"/>
  <c r="P107" i="1"/>
  <c r="P7" i="1"/>
  <c r="N7" i="3" s="1"/>
  <c r="P33" i="1"/>
  <c r="N33" i="3" s="1"/>
  <c r="P8" i="1"/>
  <c r="N8" i="3" s="1"/>
  <c r="P4" i="1"/>
  <c r="N4" i="3" s="1"/>
  <c r="P21" i="1"/>
  <c r="N21" i="3" s="1"/>
  <c r="P58" i="1"/>
  <c r="N58" i="3" s="1"/>
  <c r="P78" i="1"/>
  <c r="N78" i="3" s="1"/>
  <c r="P23" i="1"/>
  <c r="N23" i="3" s="1"/>
  <c r="P6" i="1"/>
  <c r="N6" i="3" s="1"/>
  <c r="N93" i="3" l="1"/>
  <c r="N97" i="3"/>
  <c r="N95" i="3"/>
  <c r="N99" i="3"/>
  <c r="N98" i="3"/>
  <c r="N100" i="3"/>
  <c r="N94" i="3"/>
  <c r="N96" i="3"/>
  <c r="M21" i="3"/>
  <c r="M4" i="3"/>
  <c r="M5" i="3"/>
  <c r="M8" i="3"/>
  <c r="M6" i="3"/>
  <c r="M7" i="3"/>
  <c r="M2" i="3"/>
  <c r="M3" i="3"/>
  <c r="M9" i="3"/>
  <c r="M17" i="3"/>
  <c r="M11" i="3"/>
  <c r="M20" i="3"/>
  <c r="M14" i="3"/>
  <c r="M12" i="3"/>
  <c r="M13" i="3"/>
  <c r="M16" i="3"/>
  <c r="M22" i="3"/>
  <c r="M15" i="3"/>
  <c r="M18" i="3"/>
  <c r="M10" i="3"/>
  <c r="M19" i="3"/>
  <c r="M99" i="3"/>
  <c r="M94" i="3"/>
  <c r="M40" i="3"/>
  <c r="M98" i="3"/>
  <c r="M87" i="3"/>
  <c r="M57" i="3"/>
  <c r="M82" i="3"/>
  <c r="M25" i="3"/>
  <c r="M70" i="3"/>
  <c r="M89" i="3"/>
  <c r="M73" i="3"/>
  <c r="M69" i="3"/>
  <c r="M83" i="3"/>
  <c r="M79" i="3"/>
  <c r="M96" i="3"/>
  <c r="M88" i="3"/>
  <c r="M86" i="3"/>
  <c r="M72" i="3"/>
  <c r="M36" i="3"/>
  <c r="M37" i="3"/>
  <c r="M67" i="3"/>
  <c r="M39" i="3"/>
  <c r="M100" i="3"/>
  <c r="M44" i="3"/>
  <c r="M62" i="3"/>
  <c r="M84" i="3"/>
  <c r="M35" i="3"/>
  <c r="M50" i="3"/>
  <c r="M60" i="3"/>
  <c r="M63" i="3"/>
  <c r="M90" i="3"/>
  <c r="M53" i="3"/>
  <c r="M33" i="3"/>
  <c r="M41" i="3"/>
  <c r="M75" i="3"/>
  <c r="M65" i="3"/>
  <c r="M52" i="3"/>
  <c r="M80" i="3"/>
  <c r="M93" i="3"/>
  <c r="M59" i="3"/>
  <c r="M92" i="3"/>
  <c r="M48" i="3"/>
  <c r="M34" i="3"/>
  <c r="M81" i="3"/>
  <c r="M27" i="3"/>
  <c r="M97" i="3"/>
  <c r="M54" i="3"/>
  <c r="M51" i="3"/>
  <c r="M77" i="3"/>
  <c r="M45" i="3"/>
  <c r="M58" i="3"/>
  <c r="M76" i="3"/>
  <c r="M23" i="3"/>
  <c r="M38" i="3"/>
  <c r="M68" i="3"/>
  <c r="M43" i="3"/>
  <c r="M46" i="3"/>
  <c r="M74" i="3"/>
  <c r="M29" i="3"/>
  <c r="M32" i="3"/>
  <c r="M95" i="3"/>
  <c r="M71" i="3"/>
  <c r="M85" i="3"/>
  <c r="M61" i="3"/>
  <c r="M64" i="3"/>
  <c r="M26" i="3"/>
  <c r="M78" i="3"/>
  <c r="M56" i="3"/>
  <c r="M42" i="3"/>
  <c r="M47" i="3"/>
  <c r="M30" i="3"/>
  <c r="M31" i="3"/>
  <c r="M55" i="3"/>
  <c r="M28" i="3"/>
  <c r="M24" i="3"/>
  <c r="M66" i="3"/>
  <c r="M91" i="3"/>
  <c r="M49" i="3"/>
  <c r="I21" i="3"/>
  <c r="I11" i="3"/>
  <c r="I20" i="3"/>
  <c r="I17" i="3"/>
  <c r="I5" i="3"/>
  <c r="I22" i="3"/>
  <c r="I12" i="3"/>
  <c r="I16" i="3"/>
  <c r="I15" i="3"/>
  <c r="I4" i="3"/>
  <c r="I8" i="3"/>
  <c r="I18" i="3"/>
  <c r="I9" i="3"/>
  <c r="I10" i="3"/>
  <c r="I13" i="3"/>
  <c r="I6" i="3"/>
  <c r="I7" i="3"/>
  <c r="I19" i="3"/>
  <c r="I14" i="3"/>
  <c r="I2" i="3"/>
  <c r="I3" i="3"/>
  <c r="H76" i="3"/>
  <c r="I76" i="3"/>
  <c r="H23" i="3"/>
  <c r="I23" i="3"/>
  <c r="H56" i="3"/>
  <c r="I56" i="3"/>
  <c r="H58" i="3"/>
  <c r="I58" i="3"/>
  <c r="H99" i="3"/>
  <c r="I99" i="3"/>
  <c r="H64" i="3"/>
  <c r="I64" i="3"/>
  <c r="H86" i="3"/>
  <c r="I86" i="3"/>
  <c r="H90" i="3"/>
  <c r="I90" i="3"/>
  <c r="H26" i="3"/>
  <c r="I26" i="3"/>
  <c r="H94" i="3"/>
  <c r="I94" i="3"/>
  <c r="H72" i="3"/>
  <c r="I72" i="3"/>
  <c r="H40" i="3"/>
  <c r="I40" i="3"/>
  <c r="H98" i="3"/>
  <c r="I98" i="3"/>
  <c r="H87" i="3"/>
  <c r="I87" i="3"/>
  <c r="H57" i="3"/>
  <c r="I57" i="3"/>
  <c r="H82" i="3"/>
  <c r="I82" i="3"/>
  <c r="H25" i="3"/>
  <c r="I25" i="3"/>
  <c r="H70" i="3"/>
  <c r="I70" i="3"/>
  <c r="H89" i="3"/>
  <c r="I89" i="3"/>
  <c r="H73" i="3"/>
  <c r="I73" i="3"/>
  <c r="H53" i="3"/>
  <c r="I53" i="3"/>
  <c r="H69" i="3"/>
  <c r="I69" i="3"/>
  <c r="H83" i="3"/>
  <c r="I83" i="3"/>
  <c r="H79" i="3"/>
  <c r="I79" i="3"/>
  <c r="H96" i="3"/>
  <c r="I96" i="3"/>
  <c r="H88" i="3"/>
  <c r="I88" i="3"/>
  <c r="H37" i="3"/>
  <c r="I37" i="3"/>
  <c r="H67" i="3"/>
  <c r="I67" i="3"/>
  <c r="H39" i="3"/>
  <c r="I39" i="3"/>
  <c r="H100" i="3"/>
  <c r="I100" i="3"/>
  <c r="H44" i="3"/>
  <c r="I44" i="3"/>
  <c r="H62" i="3"/>
  <c r="I62" i="3"/>
  <c r="H84" i="3"/>
  <c r="I84" i="3"/>
  <c r="H35" i="3"/>
  <c r="I35" i="3"/>
  <c r="H50" i="3"/>
  <c r="I50" i="3"/>
  <c r="H60" i="3"/>
  <c r="I60" i="3"/>
  <c r="H63" i="3"/>
  <c r="I63" i="3"/>
  <c r="H33" i="3"/>
  <c r="I33" i="3"/>
  <c r="H41" i="3"/>
  <c r="I41" i="3"/>
  <c r="H75" i="3"/>
  <c r="I75" i="3"/>
  <c r="H65" i="3"/>
  <c r="I65" i="3"/>
  <c r="H52" i="3"/>
  <c r="I52" i="3"/>
  <c r="H80" i="3"/>
  <c r="I80" i="3"/>
  <c r="H93" i="3"/>
  <c r="I93" i="3"/>
  <c r="H59" i="3"/>
  <c r="I59" i="3"/>
  <c r="H92" i="3"/>
  <c r="I92" i="3"/>
  <c r="H48" i="3"/>
  <c r="I48" i="3"/>
  <c r="H34" i="3"/>
  <c r="I34" i="3"/>
  <c r="H81" i="3"/>
  <c r="I81" i="3"/>
  <c r="H27" i="3"/>
  <c r="I27" i="3"/>
  <c r="H97" i="3"/>
  <c r="I97" i="3"/>
  <c r="H54" i="3"/>
  <c r="I54" i="3"/>
  <c r="H51" i="3"/>
  <c r="I51" i="3"/>
  <c r="H77" i="3"/>
  <c r="I77" i="3"/>
  <c r="H45" i="3"/>
  <c r="I45" i="3"/>
  <c r="H36" i="3"/>
  <c r="I36" i="3"/>
  <c r="H38" i="3"/>
  <c r="I38" i="3"/>
  <c r="H68" i="3"/>
  <c r="I68" i="3"/>
  <c r="H43" i="3"/>
  <c r="I43" i="3"/>
  <c r="H46" i="3"/>
  <c r="I46" i="3"/>
  <c r="H74" i="3"/>
  <c r="I74" i="3"/>
  <c r="H29" i="3"/>
  <c r="I29" i="3"/>
  <c r="H32" i="3"/>
  <c r="I32" i="3"/>
  <c r="H95" i="3"/>
  <c r="I95" i="3"/>
  <c r="H71" i="3"/>
  <c r="I71" i="3"/>
  <c r="H85" i="3"/>
  <c r="I85" i="3"/>
  <c r="H61" i="3"/>
  <c r="I61" i="3"/>
  <c r="H78" i="3"/>
  <c r="I78" i="3"/>
  <c r="H42" i="3"/>
  <c r="I42" i="3"/>
  <c r="H47" i="3"/>
  <c r="I47" i="3"/>
  <c r="H30" i="3"/>
  <c r="I30" i="3"/>
  <c r="H31" i="3"/>
  <c r="I31" i="3"/>
  <c r="H55" i="3"/>
  <c r="I55" i="3"/>
  <c r="H28" i="3"/>
  <c r="I28" i="3"/>
  <c r="H24" i="3"/>
  <c r="I24" i="3"/>
  <c r="H66" i="3"/>
  <c r="I66" i="3"/>
  <c r="H91" i="3"/>
  <c r="I91" i="3"/>
  <c r="H49" i="3"/>
  <c r="I49" i="3"/>
  <c r="H21" i="3"/>
  <c r="H11" i="3"/>
  <c r="H20" i="3"/>
  <c r="H17" i="3"/>
  <c r="H4" i="3"/>
  <c r="H5" i="3"/>
  <c r="H22" i="3"/>
  <c r="H12" i="3"/>
  <c r="H16" i="3"/>
  <c r="H15" i="3"/>
  <c r="H8" i="3"/>
  <c r="H18" i="3"/>
  <c r="H9" i="3"/>
  <c r="H10" i="3"/>
  <c r="H13" i="3"/>
  <c r="H6" i="3"/>
  <c r="H7" i="3"/>
  <c r="H19" i="3"/>
  <c r="H14" i="3"/>
  <c r="H2" i="3"/>
  <c r="H3" i="3"/>
  <c r="G100" i="3"/>
  <c r="G99" i="3"/>
  <c r="G98" i="3"/>
  <c r="G96" i="3"/>
  <c r="G97" i="3"/>
  <c r="G95" i="3"/>
  <c r="G94" i="3"/>
  <c r="G93" i="3"/>
  <c r="G92" i="3"/>
  <c r="G91" i="3"/>
  <c r="G90" i="3"/>
  <c r="G84" i="3"/>
  <c r="G89" i="3"/>
  <c r="G88" i="3"/>
  <c r="G87" i="3"/>
  <c r="G86" i="3"/>
  <c r="G85" i="3"/>
  <c r="G83" i="3"/>
  <c r="G82" i="3"/>
  <c r="G77" i="3"/>
  <c r="G81" i="3"/>
  <c r="G80" i="3"/>
  <c r="G79" i="3"/>
  <c r="G78" i="3"/>
  <c r="G75" i="3"/>
  <c r="G76" i="3"/>
  <c r="G74" i="3"/>
  <c r="G73" i="3"/>
  <c r="G72" i="3"/>
  <c r="G70" i="3"/>
  <c r="G71" i="3"/>
  <c r="G68" i="3"/>
  <c r="G69" i="3"/>
  <c r="G67" i="3"/>
  <c r="G62" i="3"/>
  <c r="G66" i="3"/>
  <c r="G65" i="3"/>
  <c r="G64" i="3"/>
  <c r="G63" i="3"/>
  <c r="G60" i="3"/>
  <c r="G61" i="3"/>
  <c r="G59" i="3"/>
  <c r="G57" i="3"/>
  <c r="G58" i="3"/>
  <c r="G55" i="3"/>
  <c r="G54" i="3"/>
  <c r="G56" i="3"/>
  <c r="G52" i="3"/>
  <c r="G53" i="3"/>
  <c r="G4" i="3"/>
  <c r="G35" i="3"/>
  <c r="G27" i="3"/>
  <c r="G21" i="3"/>
  <c r="G24" i="3"/>
  <c r="G41" i="3"/>
  <c r="G12" i="3"/>
  <c r="G28" i="3"/>
  <c r="G43" i="3"/>
  <c r="G40" i="3"/>
  <c r="G44" i="3"/>
  <c r="G37" i="3"/>
  <c r="G29" i="3"/>
  <c r="G10" i="3"/>
  <c r="G45" i="3"/>
  <c r="G19" i="3"/>
  <c r="G8" i="3"/>
  <c r="G36" i="3"/>
  <c r="G9" i="3"/>
  <c r="G2" i="3"/>
  <c r="G34" i="3"/>
  <c r="G15" i="3"/>
  <c r="G26" i="3"/>
  <c r="G3" i="3"/>
  <c r="G48" i="3"/>
  <c r="G6" i="3"/>
  <c r="G16" i="3"/>
  <c r="G31" i="3"/>
  <c r="G18" i="3"/>
  <c r="G38" i="3"/>
  <c r="G47" i="3"/>
  <c r="G13" i="3"/>
  <c r="G20" i="3"/>
  <c r="G33" i="3"/>
  <c r="G30" i="3"/>
  <c r="G7" i="3"/>
  <c r="G49" i="3"/>
  <c r="G5" i="3"/>
  <c r="G46" i="3"/>
  <c r="G25" i="3"/>
  <c r="G42" i="3"/>
  <c r="G14" i="3"/>
  <c r="G50" i="3"/>
  <c r="G11" i="3"/>
  <c r="G39" i="3"/>
  <c r="G17" i="3"/>
  <c r="G32" i="3"/>
  <c r="G22" i="3"/>
  <c r="G23" i="3"/>
  <c r="G51" i="3"/>
  <c r="D11" i="3" l="1"/>
  <c r="D14" i="3"/>
  <c r="O13" i="3"/>
  <c r="P13" i="3" s="1"/>
  <c r="O2" i="3"/>
  <c r="P2" i="3" s="1"/>
  <c r="O18" i="3"/>
  <c r="P18" i="3" s="1"/>
  <c r="O17" i="3"/>
  <c r="P17" i="3" s="1"/>
  <c r="O15" i="3"/>
  <c r="P15" i="3" s="1"/>
  <c r="O21" i="3"/>
  <c r="P21" i="3" s="1"/>
  <c r="O5" i="3"/>
  <c r="P5" i="3" s="1"/>
  <c r="O14" i="3"/>
  <c r="P14" i="3" s="1"/>
  <c r="O8" i="3"/>
  <c r="P8" i="3" s="1"/>
  <c r="O20" i="3"/>
  <c r="P20" i="3" s="1"/>
  <c r="O66" i="3"/>
  <c r="O31" i="3"/>
  <c r="P31" i="3" s="1"/>
  <c r="O78" i="3"/>
  <c r="O95" i="3"/>
  <c r="O46" i="3"/>
  <c r="O36" i="3"/>
  <c r="P36" i="3" s="1"/>
  <c r="O54" i="3"/>
  <c r="O34" i="3"/>
  <c r="P34" i="3" s="1"/>
  <c r="O93" i="3"/>
  <c r="O75" i="3"/>
  <c r="O60" i="3"/>
  <c r="O62" i="3"/>
  <c r="O67" i="3"/>
  <c r="O79" i="3"/>
  <c r="O73" i="3"/>
  <c r="O82" i="3"/>
  <c r="O40" i="3"/>
  <c r="P40" i="3" s="1"/>
  <c r="O90" i="3"/>
  <c r="O58" i="3"/>
  <c r="O19" i="3"/>
  <c r="P19" i="3" s="1"/>
  <c r="O11" i="3"/>
  <c r="P11" i="3" s="1"/>
  <c r="O7" i="3"/>
  <c r="P7" i="3" s="1"/>
  <c r="O16" i="3"/>
  <c r="P16" i="3" s="1"/>
  <c r="O24" i="3"/>
  <c r="P24" i="3" s="1"/>
  <c r="O30" i="3"/>
  <c r="P30" i="3" s="1"/>
  <c r="O61" i="3"/>
  <c r="O32" i="3"/>
  <c r="P32" i="3" s="1"/>
  <c r="O43" i="3"/>
  <c r="O45" i="3"/>
  <c r="O97" i="3"/>
  <c r="O48" i="3"/>
  <c r="O80" i="3"/>
  <c r="O41" i="3"/>
  <c r="O50" i="3"/>
  <c r="O44" i="3"/>
  <c r="O37" i="3"/>
  <c r="P37" i="3" s="1"/>
  <c r="O83" i="3"/>
  <c r="O89" i="3"/>
  <c r="O57" i="3"/>
  <c r="O72" i="3"/>
  <c r="O86" i="3"/>
  <c r="O56" i="3"/>
  <c r="O6" i="3"/>
  <c r="P6" i="3" s="1"/>
  <c r="O12" i="3"/>
  <c r="P12" i="3" s="1"/>
  <c r="O22" i="3"/>
  <c r="P22" i="3" s="1"/>
  <c r="O49" i="3"/>
  <c r="O28" i="3"/>
  <c r="P28" i="3" s="1"/>
  <c r="O47" i="3"/>
  <c r="O85" i="3"/>
  <c r="O29" i="3"/>
  <c r="P29" i="3" s="1"/>
  <c r="O68" i="3"/>
  <c r="O77" i="3"/>
  <c r="O27" i="3"/>
  <c r="P27" i="3" s="1"/>
  <c r="O92" i="3"/>
  <c r="O52" i="3"/>
  <c r="O33" i="3"/>
  <c r="P33" i="3" s="1"/>
  <c r="O35" i="3"/>
  <c r="P35" i="3" s="1"/>
  <c r="O100" i="3"/>
  <c r="O88" i="3"/>
  <c r="O69" i="3"/>
  <c r="O70" i="3"/>
  <c r="O87" i="3"/>
  <c r="O94" i="3"/>
  <c r="O64" i="3"/>
  <c r="O23" i="3"/>
  <c r="P23" i="3" s="1"/>
  <c r="O10" i="3"/>
  <c r="P10" i="3" s="1"/>
  <c r="O3" i="3"/>
  <c r="P3" i="3" s="1"/>
  <c r="O9" i="3"/>
  <c r="P9" i="3" s="1"/>
  <c r="O4" i="3"/>
  <c r="P4" i="3" s="1"/>
  <c r="O91" i="3"/>
  <c r="O55" i="3"/>
  <c r="O42" i="3"/>
  <c r="O71" i="3"/>
  <c r="O74" i="3"/>
  <c r="O38" i="3"/>
  <c r="P38" i="3" s="1"/>
  <c r="O51" i="3"/>
  <c r="O81" i="3"/>
  <c r="O59" i="3"/>
  <c r="O65" i="3"/>
  <c r="O63" i="3"/>
  <c r="O84" i="3"/>
  <c r="O39" i="3"/>
  <c r="P39" i="3" s="1"/>
  <c r="O96" i="3"/>
  <c r="O53" i="3"/>
  <c r="O25" i="3"/>
  <c r="P25" i="3" s="1"/>
  <c r="O98" i="3"/>
  <c r="O26" i="3"/>
  <c r="P26" i="3" s="1"/>
  <c r="O99" i="3"/>
  <c r="O76" i="3"/>
  <c r="F5" i="4"/>
  <c r="D13" i="3"/>
  <c r="D12" i="3"/>
  <c r="D15" i="3"/>
  <c r="R90" i="3"/>
  <c r="R100" i="3"/>
  <c r="J96" i="3"/>
  <c r="L94" i="3"/>
  <c r="K94" i="3" s="1"/>
  <c r="J84" i="3"/>
  <c r="J100" i="3"/>
  <c r="L100" i="3"/>
  <c r="K100" i="3" s="1"/>
  <c r="R99" i="3"/>
  <c r="J99" i="3"/>
  <c r="L99" i="3"/>
  <c r="K99" i="3" s="1"/>
  <c r="R96" i="3"/>
  <c r="L98" i="3"/>
  <c r="K98" i="3" s="1"/>
  <c r="J98" i="3"/>
  <c r="R98" i="3"/>
  <c r="L96" i="3"/>
  <c r="K96" i="3" s="1"/>
  <c r="J97" i="3"/>
  <c r="R97" i="3"/>
  <c r="L97" i="3"/>
  <c r="K97" i="3" s="1"/>
  <c r="J95" i="3"/>
  <c r="L95" i="3"/>
  <c r="K95" i="3" s="1"/>
  <c r="R95" i="3"/>
  <c r="J94" i="3"/>
  <c r="R94" i="3"/>
  <c r="L93" i="3"/>
  <c r="K93" i="3" s="1"/>
  <c r="R93" i="3"/>
  <c r="J93" i="3"/>
  <c r="J92" i="3"/>
  <c r="R92" i="3"/>
  <c r="L92" i="3"/>
  <c r="K92" i="3" s="1"/>
  <c r="J91" i="3"/>
  <c r="R91" i="3"/>
  <c r="L91" i="3"/>
  <c r="K91" i="3" s="1"/>
  <c r="L90" i="3"/>
  <c r="K90" i="3" s="1"/>
  <c r="J90" i="3"/>
  <c r="L84" i="3"/>
  <c r="K84" i="3" s="1"/>
  <c r="R84" i="3"/>
  <c r="J89" i="3"/>
  <c r="L89" i="3"/>
  <c r="K89" i="3" s="1"/>
  <c r="R89" i="3"/>
  <c r="J88" i="3"/>
  <c r="L88" i="3"/>
  <c r="K88" i="3" s="1"/>
  <c r="R88" i="3"/>
  <c r="R87" i="3"/>
  <c r="L87" i="3"/>
  <c r="K87" i="3" s="1"/>
  <c r="J87" i="3"/>
  <c r="R86" i="3"/>
  <c r="L86" i="3"/>
  <c r="K86" i="3" s="1"/>
  <c r="J86" i="3"/>
  <c r="L85" i="3"/>
  <c r="K85" i="3" s="1"/>
  <c r="R85" i="3"/>
  <c r="J85" i="3"/>
  <c r="L83" i="3"/>
  <c r="K83" i="3" s="1"/>
  <c r="J83" i="3"/>
  <c r="R83" i="3"/>
  <c r="L77" i="3"/>
  <c r="K77" i="3" s="1"/>
  <c r="R77" i="3"/>
  <c r="J77" i="3"/>
  <c r="L82" i="3"/>
  <c r="K82" i="3" s="1"/>
  <c r="R82" i="3"/>
  <c r="J82" i="3"/>
  <c r="J81" i="3"/>
  <c r="R81" i="3"/>
  <c r="L81" i="3"/>
  <c r="K81" i="3" s="1"/>
  <c r="L80" i="3"/>
  <c r="K80" i="3" s="1"/>
  <c r="R80" i="3"/>
  <c r="J80" i="3"/>
  <c r="L79" i="3"/>
  <c r="K79" i="3" s="1"/>
  <c r="J79" i="3"/>
  <c r="R79" i="3"/>
  <c r="L78" i="3"/>
  <c r="K78" i="3" s="1"/>
  <c r="R78" i="3"/>
  <c r="J78" i="3"/>
  <c r="J11" i="3"/>
  <c r="J5" i="3"/>
  <c r="J7" i="3"/>
  <c r="J6" i="3"/>
  <c r="J3" i="3"/>
  <c r="J9" i="3"/>
  <c r="J8" i="3"/>
  <c r="J10" i="3"/>
  <c r="J4" i="3"/>
  <c r="J62" i="3"/>
  <c r="J68" i="3"/>
  <c r="L72" i="3"/>
  <c r="K72" i="3" s="1"/>
  <c r="R73" i="3"/>
  <c r="J74" i="3"/>
  <c r="L75" i="3"/>
  <c r="K75" i="3" s="1"/>
  <c r="J75" i="3"/>
  <c r="R75" i="3"/>
  <c r="J76" i="3"/>
  <c r="L76" i="3"/>
  <c r="K76" i="3" s="1"/>
  <c r="R76" i="3"/>
  <c r="L74" i="3"/>
  <c r="K74" i="3" s="1"/>
  <c r="R74" i="3"/>
  <c r="J73" i="3"/>
  <c r="L73" i="3"/>
  <c r="K73" i="3" s="1"/>
  <c r="J72" i="3"/>
  <c r="R72" i="3"/>
  <c r="R70" i="3"/>
  <c r="L70" i="3"/>
  <c r="K70" i="3" s="1"/>
  <c r="J70" i="3"/>
  <c r="R71" i="3"/>
  <c r="J71" i="3"/>
  <c r="L71" i="3"/>
  <c r="K71" i="3" s="1"/>
  <c r="J69" i="3"/>
  <c r="L69" i="3"/>
  <c r="K69" i="3" s="1"/>
  <c r="R69" i="3"/>
  <c r="L68" i="3"/>
  <c r="K68" i="3" s="1"/>
  <c r="R68" i="3"/>
  <c r="J67" i="3"/>
  <c r="R67" i="3"/>
  <c r="L67" i="3"/>
  <c r="K67" i="3" s="1"/>
  <c r="J2" i="3"/>
  <c r="J66" i="3"/>
  <c r="J30" i="3"/>
  <c r="J38" i="3"/>
  <c r="J15" i="3"/>
  <c r="J37" i="3"/>
  <c r="J21" i="3"/>
  <c r="J58" i="3"/>
  <c r="J14" i="3"/>
  <c r="J49" i="3"/>
  <c r="J33" i="3"/>
  <c r="J13" i="3"/>
  <c r="J44" i="3"/>
  <c r="J32" i="3"/>
  <c r="J23" i="3"/>
  <c r="J42" i="3"/>
  <c r="J46" i="3"/>
  <c r="J18" i="3"/>
  <c r="J19" i="3"/>
  <c r="J28" i="3"/>
  <c r="J41" i="3"/>
  <c r="J27" i="3"/>
  <c r="J56" i="3"/>
  <c r="J64" i="3"/>
  <c r="J47" i="3"/>
  <c r="J34" i="3"/>
  <c r="J61" i="3"/>
  <c r="J17" i="3"/>
  <c r="J50" i="3"/>
  <c r="J20" i="3"/>
  <c r="J36" i="3"/>
  <c r="J40" i="3"/>
  <c r="J57" i="3"/>
  <c r="J65" i="3"/>
  <c r="J51" i="3"/>
  <c r="J26" i="3"/>
  <c r="J29" i="3"/>
  <c r="J12" i="3"/>
  <c r="J24" i="3"/>
  <c r="J35" i="3"/>
  <c r="J54" i="3"/>
  <c r="J60" i="3"/>
  <c r="J22" i="3"/>
  <c r="J39" i="3"/>
  <c r="J31" i="3"/>
  <c r="J48" i="3"/>
  <c r="J53" i="3"/>
  <c r="J52" i="3"/>
  <c r="J55" i="3"/>
  <c r="J59" i="3"/>
  <c r="J63" i="3"/>
  <c r="J25" i="3"/>
  <c r="J16" i="3"/>
  <c r="J45" i="3"/>
  <c r="J43" i="3"/>
  <c r="R62" i="3"/>
  <c r="L32" i="3"/>
  <c r="K32" i="3" s="1"/>
  <c r="L11" i="3"/>
  <c r="K11" i="3" s="1"/>
  <c r="L30" i="3"/>
  <c r="K30" i="3" s="1"/>
  <c r="L38" i="3"/>
  <c r="K38" i="3" s="1"/>
  <c r="L15" i="3"/>
  <c r="K15" i="3" s="1"/>
  <c r="L8" i="3"/>
  <c r="K8" i="3" s="1"/>
  <c r="L10" i="3"/>
  <c r="K10" i="3" s="1"/>
  <c r="L37" i="3"/>
  <c r="K37" i="3" s="1"/>
  <c r="L21" i="3"/>
  <c r="K21" i="3" s="1"/>
  <c r="L4" i="3"/>
  <c r="K4" i="3" s="1"/>
  <c r="L58" i="3"/>
  <c r="K58" i="3" s="1"/>
  <c r="L33" i="3"/>
  <c r="K33" i="3" s="1"/>
  <c r="L66" i="3"/>
  <c r="K66" i="3" s="1"/>
  <c r="L23" i="3"/>
  <c r="K23" i="3" s="1"/>
  <c r="L42" i="3"/>
  <c r="K42" i="3" s="1"/>
  <c r="L46" i="3"/>
  <c r="K46" i="3" s="1"/>
  <c r="L18" i="3"/>
  <c r="K18" i="3" s="1"/>
  <c r="L19" i="3"/>
  <c r="K19" i="3" s="1"/>
  <c r="L28" i="3"/>
  <c r="K28" i="3" s="1"/>
  <c r="L41" i="3"/>
  <c r="K41" i="3" s="1"/>
  <c r="L27" i="3"/>
  <c r="K27" i="3" s="1"/>
  <c r="L56" i="3"/>
  <c r="K56" i="3" s="1"/>
  <c r="L14" i="3"/>
  <c r="K14" i="3" s="1"/>
  <c r="L47" i="3"/>
  <c r="K47" i="3" s="1"/>
  <c r="L6" i="3"/>
  <c r="K6" i="3" s="1"/>
  <c r="L34" i="3"/>
  <c r="K34" i="3" s="1"/>
  <c r="L9" i="3"/>
  <c r="K9" i="3" s="1"/>
  <c r="L61" i="3"/>
  <c r="K61" i="3" s="1"/>
  <c r="L64" i="3"/>
  <c r="K64" i="3" s="1"/>
  <c r="L13" i="3"/>
  <c r="K13" i="3" s="1"/>
  <c r="L44" i="3"/>
  <c r="K44" i="3" s="1"/>
  <c r="L17" i="3"/>
  <c r="K17" i="3" s="1"/>
  <c r="L50" i="3"/>
  <c r="K50" i="3" s="1"/>
  <c r="L7" i="3"/>
  <c r="K7" i="3" s="1"/>
  <c r="L20" i="3"/>
  <c r="K20" i="3" s="1"/>
  <c r="L36" i="3"/>
  <c r="K36" i="3" s="1"/>
  <c r="L40" i="3"/>
  <c r="K40" i="3" s="1"/>
  <c r="L57" i="3"/>
  <c r="K57" i="3" s="1"/>
  <c r="L62" i="3"/>
  <c r="K62" i="3" s="1"/>
  <c r="L49" i="3"/>
  <c r="K49" i="3" s="1"/>
  <c r="L51" i="3"/>
  <c r="K51" i="3" s="1"/>
  <c r="L26" i="3"/>
  <c r="K26" i="3" s="1"/>
  <c r="L2" i="3"/>
  <c r="K2" i="3" s="1"/>
  <c r="L29" i="3"/>
  <c r="K29" i="3" s="1"/>
  <c r="L12" i="3"/>
  <c r="K12" i="3" s="1"/>
  <c r="L24" i="3"/>
  <c r="K24" i="3" s="1"/>
  <c r="L35" i="3"/>
  <c r="K35" i="3" s="1"/>
  <c r="L54" i="3"/>
  <c r="K54" i="3" s="1"/>
  <c r="L60" i="3"/>
  <c r="K60" i="3" s="1"/>
  <c r="L65" i="3"/>
  <c r="K65" i="3" s="1"/>
  <c r="L22" i="3"/>
  <c r="K22" i="3" s="1"/>
  <c r="L39" i="3"/>
  <c r="K39" i="3" s="1"/>
  <c r="L5" i="3"/>
  <c r="K5" i="3" s="1"/>
  <c r="L31" i="3"/>
  <c r="K31" i="3" s="1"/>
  <c r="L48" i="3"/>
  <c r="K48" i="3" s="1"/>
  <c r="L53" i="3"/>
  <c r="K53" i="3" s="1"/>
  <c r="L52" i="3"/>
  <c r="K52" i="3" s="1"/>
  <c r="L55" i="3"/>
  <c r="K55" i="3" s="1"/>
  <c r="L59" i="3"/>
  <c r="K59" i="3" s="1"/>
  <c r="L3" i="3"/>
  <c r="K3" i="3" s="1"/>
  <c r="L25" i="3"/>
  <c r="K25" i="3" s="1"/>
  <c r="L16" i="3"/>
  <c r="K16" i="3" s="1"/>
  <c r="L45" i="3"/>
  <c r="K45" i="3" s="1"/>
  <c r="L43" i="3"/>
  <c r="K43" i="3" s="1"/>
  <c r="L63" i="3"/>
  <c r="K63" i="3" s="1"/>
  <c r="R66" i="3"/>
  <c r="R65" i="3"/>
  <c r="R64" i="3"/>
  <c r="R63" i="3"/>
  <c r="R51" i="3"/>
  <c r="R26" i="3"/>
  <c r="R2" i="3"/>
  <c r="R29" i="3"/>
  <c r="R12" i="3"/>
  <c r="R24" i="3"/>
  <c r="R35" i="3"/>
  <c r="R54" i="3"/>
  <c r="R60" i="3"/>
  <c r="R22" i="3"/>
  <c r="R39" i="3"/>
  <c r="R5" i="3"/>
  <c r="R31" i="3"/>
  <c r="R48" i="3"/>
  <c r="R53" i="3"/>
  <c r="R52" i="3"/>
  <c r="R55" i="3"/>
  <c r="R59" i="3"/>
  <c r="R25" i="3"/>
  <c r="R16" i="3"/>
  <c r="R45" i="3"/>
  <c r="R43" i="3"/>
  <c r="R32" i="3"/>
  <c r="R11" i="3"/>
  <c r="R30" i="3"/>
  <c r="R38" i="3"/>
  <c r="R15" i="3"/>
  <c r="R8" i="3"/>
  <c r="R10" i="3"/>
  <c r="R37" i="3"/>
  <c r="R21" i="3"/>
  <c r="R4" i="3"/>
  <c r="R58" i="3"/>
  <c r="R14" i="3"/>
  <c r="R49" i="3"/>
  <c r="R33" i="3"/>
  <c r="R13" i="3"/>
  <c r="R3" i="3"/>
  <c r="R44" i="3"/>
  <c r="R23" i="3"/>
  <c r="R42" i="3"/>
  <c r="R46" i="3"/>
  <c r="R18" i="3"/>
  <c r="R19" i="3"/>
  <c r="R28" i="3"/>
  <c r="R41" i="3"/>
  <c r="R27" i="3"/>
  <c r="R56" i="3"/>
  <c r="R47" i="3"/>
  <c r="R6" i="3"/>
  <c r="R34" i="3"/>
  <c r="R9" i="3"/>
  <c r="R61" i="3"/>
  <c r="R17" i="3"/>
  <c r="R50" i="3"/>
  <c r="R7" i="3"/>
  <c r="R20" i="3"/>
  <c r="R36" i="3"/>
  <c r="R40" i="3"/>
  <c r="R57" i="3"/>
  <c r="D16" i="3" l="1"/>
  <c r="V21" i="1"/>
  <c r="V19" i="1"/>
  <c r="V20" i="1"/>
  <c r="V122" i="1"/>
  <c r="V144" i="1"/>
  <c r="V49" i="1"/>
  <c r="V48" i="1"/>
  <c r="V47" i="1"/>
  <c r="V178" i="1"/>
  <c r="V177" i="1"/>
  <c r="V222" i="1"/>
  <c r="V179" i="1"/>
  <c r="V223" i="1"/>
  <c r="V221" i="1"/>
  <c r="V298" i="1"/>
  <c r="V297" i="1"/>
  <c r="V296" i="1"/>
  <c r="V4" i="1"/>
  <c r="V6" i="1"/>
  <c r="V5" i="1"/>
  <c r="V312" i="1"/>
  <c r="V315" i="1"/>
  <c r="V314" i="1"/>
  <c r="V35" i="1"/>
  <c r="V313" i="1"/>
  <c r="V33" i="1"/>
  <c r="V34" i="1"/>
  <c r="V110" i="1"/>
  <c r="V112" i="1"/>
  <c r="V109" i="1"/>
  <c r="V111" i="1"/>
  <c r="V37" i="1"/>
  <c r="V38" i="1"/>
  <c r="V36" i="1"/>
  <c r="V148" i="1"/>
  <c r="V150" i="1"/>
  <c r="V149" i="1"/>
  <c r="V216" i="1"/>
  <c r="V218" i="1"/>
  <c r="V215" i="1"/>
  <c r="V217" i="1"/>
  <c r="V318" i="1"/>
  <c r="V316" i="1"/>
  <c r="V317" i="1"/>
  <c r="V301" i="1"/>
  <c r="V302" i="1"/>
  <c r="V303" i="1"/>
  <c r="V207" i="1"/>
  <c r="V206" i="1"/>
  <c r="V205" i="1"/>
  <c r="V185" i="1"/>
  <c r="V184" i="1"/>
  <c r="V259" i="1"/>
  <c r="V260" i="1"/>
  <c r="V142" i="1"/>
  <c r="V143" i="1"/>
  <c r="V141" i="1"/>
  <c r="V39" i="1"/>
  <c r="V41" i="1"/>
  <c r="V42" i="1"/>
  <c r="V40" i="1"/>
  <c r="V45" i="1"/>
  <c r="V44" i="1"/>
  <c r="V43" i="1"/>
  <c r="V174" i="1"/>
  <c r="V46" i="1"/>
  <c r="V176" i="1"/>
  <c r="V172" i="1"/>
  <c r="V173" i="1"/>
  <c r="V175" i="1"/>
  <c r="V292" i="1"/>
  <c r="V291" i="1"/>
  <c r="V295" i="1"/>
  <c r="V171" i="1"/>
  <c r="V170" i="1"/>
  <c r="V169" i="1"/>
  <c r="V32" i="1"/>
  <c r="V31" i="1"/>
  <c r="V30" i="1"/>
  <c r="V126" i="1"/>
  <c r="V127" i="1"/>
  <c r="V124" i="1"/>
  <c r="V123" i="1"/>
  <c r="V125" i="1"/>
  <c r="V167" i="1"/>
  <c r="V165" i="1"/>
  <c r="V168" i="1"/>
  <c r="V166" i="1"/>
  <c r="V287" i="1"/>
  <c r="V285" i="1"/>
  <c r="V286" i="1"/>
  <c r="V28" i="1"/>
  <c r="V29" i="1"/>
  <c r="V220" i="1"/>
  <c r="V219" i="1"/>
  <c r="V288" i="1"/>
  <c r="V289" i="1"/>
  <c r="V136" i="1"/>
  <c r="V135" i="1"/>
  <c r="V83" i="1"/>
  <c r="V85" i="1"/>
  <c r="V84" i="1"/>
  <c r="V140" i="1"/>
  <c r="V264" i="1"/>
  <c r="V240" i="1"/>
  <c r="V241" i="1"/>
  <c r="V242" i="1"/>
  <c r="V239" i="1"/>
  <c r="V235" i="1"/>
  <c r="V157" i="1"/>
  <c r="V156" i="1"/>
  <c r="V158" i="1"/>
  <c r="V247" i="1"/>
  <c r="V245" i="1"/>
  <c r="V246" i="1"/>
  <c r="V243" i="1"/>
  <c r="V248" i="1"/>
  <c r="V244" i="1"/>
  <c r="V234" i="1"/>
  <c r="V233" i="1"/>
  <c r="V58" i="1"/>
  <c r="V57" i="1"/>
  <c r="V59" i="1"/>
  <c r="V60" i="1"/>
  <c r="V55" i="1"/>
  <c r="V54" i="1"/>
  <c r="V56" i="1"/>
  <c r="V256" i="1"/>
  <c r="V257" i="1"/>
  <c r="V258" i="1"/>
  <c r="V188" i="1"/>
  <c r="V189" i="1"/>
  <c r="V190" i="1"/>
  <c r="V25" i="1"/>
  <c r="V23" i="1"/>
  <c r="V22" i="1"/>
  <c r="V24" i="1"/>
  <c r="V76" i="1"/>
  <c r="V77" i="1"/>
  <c r="V75" i="1"/>
  <c r="V230" i="1"/>
  <c r="V231" i="1"/>
  <c r="V232" i="1"/>
  <c r="V202" i="1"/>
  <c r="V203" i="1"/>
  <c r="V199" i="1"/>
  <c r="V200" i="1"/>
  <c r="V204" i="1"/>
  <c r="V201" i="1"/>
  <c r="V198" i="1"/>
  <c r="V197" i="1"/>
  <c r="V270" i="1"/>
  <c r="V271" i="1"/>
  <c r="V272" i="1"/>
  <c r="V268" i="1"/>
  <c r="V267" i="1"/>
  <c r="V269" i="1"/>
  <c r="V66" i="1"/>
  <c r="V68" i="1"/>
  <c r="V67" i="1"/>
  <c r="V65" i="1"/>
  <c r="V63" i="1"/>
  <c r="V64" i="1"/>
  <c r="V61" i="1"/>
  <c r="V62" i="1"/>
  <c r="V193" i="1"/>
  <c r="V191" i="1"/>
  <c r="V192" i="1"/>
  <c r="V145" i="1"/>
  <c r="V146" i="1"/>
  <c r="V147" i="1"/>
  <c r="V300" i="1"/>
  <c r="V299" i="1"/>
  <c r="V290" i="1"/>
  <c r="V137" i="1"/>
  <c r="V323" i="1"/>
  <c r="V324" i="1"/>
  <c r="V293" i="1"/>
  <c r="V53" i="1"/>
  <c r="V139" i="1"/>
  <c r="V187" i="1"/>
  <c r="V186" i="1"/>
  <c r="V294" i="1"/>
  <c r="V74" i="1"/>
  <c r="V72" i="1"/>
  <c r="V73" i="1"/>
  <c r="V210" i="1"/>
  <c r="V208" i="1"/>
  <c r="V209" i="1"/>
  <c r="V211" i="1"/>
  <c r="V130" i="1"/>
  <c r="V131" i="1"/>
  <c r="V129" i="1"/>
  <c r="V128" i="1"/>
  <c r="V196" i="1"/>
  <c r="V195" i="1"/>
  <c r="V194" i="1"/>
  <c r="V180" i="1"/>
  <c r="V7" i="1"/>
  <c r="V15" i="1"/>
  <c r="V52" i="1"/>
  <c r="V82" i="1"/>
  <c r="V93" i="1"/>
  <c r="V101" i="1"/>
  <c r="V113" i="1"/>
  <c r="V121" i="1"/>
  <c r="V154" i="1"/>
  <c r="V182" i="1"/>
  <c r="V252" i="1"/>
  <c r="V266" i="1"/>
  <c r="V280" i="1"/>
  <c r="V307" i="1"/>
  <c r="V322" i="1"/>
  <c r="V80" i="1"/>
  <c r="V263" i="1"/>
  <c r="V8" i="1"/>
  <c r="V16" i="1"/>
  <c r="V69" i="1"/>
  <c r="V86" i="1"/>
  <c r="V94" i="1"/>
  <c r="V102" i="1"/>
  <c r="V114" i="1"/>
  <c r="V132" i="1"/>
  <c r="V155" i="1"/>
  <c r="V183" i="1"/>
  <c r="V253" i="1"/>
  <c r="V273" i="1"/>
  <c r="V281" i="1"/>
  <c r="V308" i="1"/>
  <c r="V13" i="1"/>
  <c r="V152" i="1"/>
  <c r="V9" i="1"/>
  <c r="V17" i="1"/>
  <c r="V70" i="1"/>
  <c r="V87" i="1"/>
  <c r="V95" i="1"/>
  <c r="V103" i="1"/>
  <c r="V115" i="1"/>
  <c r="V133" i="1"/>
  <c r="V160" i="1"/>
  <c r="V212" i="1"/>
  <c r="V254" i="1"/>
  <c r="V274" i="1"/>
  <c r="V282" i="1"/>
  <c r="V309" i="1"/>
  <c r="V50" i="1"/>
  <c r="V164" i="1"/>
  <c r="V10" i="1"/>
  <c r="V18" i="1"/>
  <c r="V71" i="1"/>
  <c r="V88" i="1"/>
  <c r="V96" i="1"/>
  <c r="V104" i="1"/>
  <c r="V116" i="1"/>
  <c r="V134" i="1"/>
  <c r="V161" i="1"/>
  <c r="V213" i="1"/>
  <c r="V255" i="1"/>
  <c r="V275" i="1"/>
  <c r="V283" i="1"/>
  <c r="V310" i="1"/>
  <c r="V2" i="1"/>
  <c r="V119" i="1"/>
  <c r="V320" i="1"/>
  <c r="V11" i="1"/>
  <c r="V26" i="1"/>
  <c r="V78" i="1"/>
  <c r="V89" i="1"/>
  <c r="V97" i="1"/>
  <c r="V105" i="1"/>
  <c r="V117" i="1"/>
  <c r="V138" i="1"/>
  <c r="V162" i="1"/>
  <c r="V214" i="1"/>
  <c r="V261" i="1"/>
  <c r="V276" i="1"/>
  <c r="V284" i="1"/>
  <c r="V311" i="1"/>
  <c r="V91" i="1"/>
  <c r="V250" i="1"/>
  <c r="V12" i="1"/>
  <c r="V27" i="1"/>
  <c r="V79" i="1"/>
  <c r="V90" i="1"/>
  <c r="V98" i="1"/>
  <c r="V106" i="1"/>
  <c r="V118" i="1"/>
  <c r="V151" i="1"/>
  <c r="V163" i="1"/>
  <c r="V249" i="1"/>
  <c r="V262" i="1"/>
  <c r="V277" i="1"/>
  <c r="V304" i="1"/>
  <c r="V319" i="1"/>
  <c r="V99" i="1"/>
  <c r="V278" i="1"/>
  <c r="V3" i="1"/>
  <c r="V14" i="1"/>
  <c r="V51" i="1"/>
  <c r="V81" i="1"/>
  <c r="V92" i="1"/>
  <c r="V100" i="1"/>
  <c r="V108" i="1"/>
  <c r="V120" i="1"/>
  <c r="V153" i="1"/>
  <c r="V181" i="1"/>
  <c r="V251" i="1"/>
  <c r="V265" i="1"/>
  <c r="V279" i="1"/>
  <c r="V306" i="1"/>
  <c r="V321" i="1"/>
  <c r="V107" i="1"/>
  <c r="V305" i="1"/>
  <c r="AC300" i="3" l="1"/>
  <c r="AA300" i="3"/>
  <c r="AA283" i="3"/>
  <c r="AC165" i="3"/>
  <c r="AA165" i="3"/>
  <c r="AC96" i="3"/>
  <c r="AC223" i="3"/>
  <c r="AA223" i="3"/>
  <c r="AC186" i="3"/>
  <c r="AA186" i="3"/>
  <c r="AA207" i="3"/>
  <c r="AC113" i="3"/>
  <c r="AA113" i="3"/>
  <c r="AC279" i="3"/>
  <c r="AA279" i="3"/>
  <c r="AA195" i="3"/>
  <c r="AC94" i="3"/>
  <c r="AA94" i="3"/>
  <c r="AC295" i="3"/>
  <c r="AC203" i="3"/>
  <c r="AA203" i="3"/>
  <c r="AC20" i="3"/>
  <c r="AA20" i="3"/>
  <c r="AA190" i="3"/>
  <c r="AC154" i="3"/>
  <c r="AA154" i="3"/>
  <c r="AC182" i="3"/>
  <c r="AA182" i="3"/>
  <c r="AA140" i="3"/>
  <c r="AC256" i="3"/>
  <c r="AA256" i="3"/>
  <c r="AC200" i="3"/>
  <c r="AC215" i="3"/>
  <c r="AA215" i="3"/>
  <c r="AC85" i="3"/>
  <c r="AA85" i="3"/>
  <c r="AA48" i="3"/>
  <c r="AC48" i="3"/>
  <c r="AA38" i="3"/>
  <c r="AC176" i="3"/>
  <c r="AA65" i="3"/>
  <c r="AC65" i="3"/>
  <c r="AC158" i="3"/>
  <c r="AC152" i="3"/>
  <c r="AA152" i="3"/>
  <c r="AC288" i="3"/>
  <c r="AA288" i="3"/>
  <c r="AC166" i="3"/>
  <c r="AA166" i="3"/>
  <c r="AC172" i="3"/>
  <c r="AA172" i="3"/>
  <c r="AA131" i="3"/>
  <c r="AC40" i="3"/>
  <c r="AA40" i="3"/>
  <c r="AC183" i="3"/>
  <c r="AC175" i="3"/>
  <c r="AA175" i="3"/>
  <c r="AC79" i="3"/>
  <c r="AA79" i="3"/>
  <c r="AC7" i="3"/>
  <c r="AA7" i="3"/>
  <c r="AC137" i="3"/>
  <c r="AA137" i="3"/>
  <c r="AA106" i="3"/>
  <c r="AC193" i="3"/>
  <c r="AA193" i="3"/>
  <c r="AC294" i="3"/>
  <c r="AC16" i="3"/>
  <c r="AA16" i="3"/>
  <c r="AC264" i="3"/>
  <c r="AA264" i="3"/>
  <c r="AC238" i="3"/>
  <c r="AA238" i="3"/>
  <c r="AA116" i="3"/>
  <c r="AC43" i="3"/>
  <c r="AA43" i="3"/>
  <c r="AC108" i="3"/>
  <c r="AC210" i="3"/>
  <c r="AA210" i="3"/>
  <c r="AC114" i="3"/>
  <c r="AA114" i="3"/>
  <c r="AC98" i="3"/>
  <c r="AA98" i="3"/>
  <c r="AC267" i="3"/>
  <c r="AA267" i="3"/>
  <c r="AC36" i="3"/>
  <c r="AA36" i="3"/>
  <c r="AC50" i="3"/>
  <c r="AA50" i="3"/>
  <c r="AC126" i="3"/>
  <c r="AA126" i="3"/>
  <c r="AC173" i="3"/>
  <c r="AA173" i="3"/>
  <c r="AA129" i="3"/>
  <c r="AC129" i="3"/>
  <c r="AA93" i="3"/>
  <c r="AA33" i="3"/>
  <c r="AC33" i="3"/>
  <c r="AC233" i="3"/>
  <c r="AA233" i="3"/>
  <c r="AC196" i="3"/>
  <c r="AA196" i="3"/>
  <c r="AA10" i="3"/>
  <c r="AC73" i="3"/>
  <c r="AA73" i="3"/>
  <c r="AC201" i="3"/>
  <c r="AA201" i="3"/>
  <c r="AA44" i="3"/>
  <c r="AC241" i="3"/>
  <c r="AA241" i="3"/>
  <c r="AC272" i="3"/>
  <c r="AC213" i="3"/>
  <c r="AA213" i="3"/>
  <c r="AC260" i="3"/>
  <c r="AA260" i="3"/>
  <c r="AC49" i="3"/>
  <c r="AA49" i="3"/>
  <c r="AC71" i="3"/>
  <c r="AA71" i="3"/>
  <c r="AA192" i="3"/>
  <c r="AC56" i="3"/>
  <c r="AA56" i="3"/>
  <c r="AC110" i="3"/>
  <c r="AC216" i="3"/>
  <c r="AA216" i="3"/>
  <c r="AC220" i="3"/>
  <c r="AA220" i="3"/>
  <c r="AC153" i="3"/>
  <c r="AA153" i="3"/>
  <c r="AC63" i="3"/>
  <c r="AA63" i="3"/>
  <c r="AC103" i="3"/>
  <c r="AA103" i="3"/>
  <c r="AC161" i="3"/>
  <c r="AC273" i="3"/>
  <c r="AA273" i="3"/>
  <c r="AC250" i="3"/>
  <c r="AA250" i="3"/>
  <c r="AC163" i="3"/>
  <c r="AA163" i="3"/>
  <c r="AC82" i="3"/>
  <c r="AA82" i="3"/>
  <c r="AA130" i="3"/>
  <c r="AC101" i="3"/>
  <c r="AA101" i="3"/>
  <c r="AC149" i="3"/>
  <c r="AC120" i="3"/>
  <c r="AA120" i="3"/>
  <c r="AC51" i="3"/>
  <c r="AA51" i="3"/>
  <c r="AC2" i="3"/>
  <c r="AA2" i="3"/>
  <c r="AA150" i="3"/>
  <c r="AC150" i="3"/>
  <c r="AC134" i="3"/>
  <c r="AC105" i="3"/>
  <c r="AA105" i="3"/>
  <c r="AC34" i="3"/>
  <c r="AA34" i="3"/>
  <c r="AC66" i="3"/>
  <c r="AA66" i="3"/>
  <c r="AC8" i="3"/>
  <c r="AA8" i="3"/>
  <c r="AC27" i="3"/>
  <c r="AA27" i="3"/>
  <c r="AC237" i="3"/>
  <c r="AA237" i="3"/>
  <c r="AC58" i="3"/>
  <c r="AA58" i="3"/>
  <c r="AC143" i="3"/>
  <c r="AC258" i="3"/>
  <c r="AA258" i="3"/>
  <c r="AC145" i="3"/>
  <c r="AA145" i="3"/>
  <c r="AC102" i="3"/>
  <c r="AA102" i="3"/>
  <c r="AC191" i="3"/>
  <c r="AC87" i="3"/>
  <c r="AA87" i="3"/>
  <c r="AC12" i="3"/>
  <c r="AC22" i="3"/>
  <c r="AA22" i="3"/>
  <c r="AA274" i="3"/>
  <c r="AC289" i="3"/>
  <c r="AA289" i="3"/>
  <c r="AC142" i="3"/>
  <c r="AA142" i="3"/>
  <c r="AC242" i="3"/>
  <c r="AA242" i="3"/>
  <c r="AC57" i="3"/>
  <c r="AC247" i="3"/>
  <c r="AA247" i="3"/>
  <c r="AC70" i="3"/>
  <c r="AA70" i="3"/>
  <c r="AA245" i="3"/>
  <c r="AC67" i="3"/>
  <c r="AA67" i="3"/>
  <c r="AC164" i="3"/>
  <c r="AA164" i="3"/>
  <c r="AC276" i="3"/>
  <c r="AA276" i="3"/>
  <c r="AC89" i="3"/>
  <c r="AA89" i="3"/>
  <c r="AC262" i="3"/>
  <c r="AC243" i="3"/>
  <c r="AA243" i="3"/>
  <c r="AC277" i="3"/>
  <c r="AA277" i="3"/>
  <c r="AC125" i="3"/>
  <c r="AA127" i="3"/>
  <c r="AC127" i="3"/>
  <c r="AA111" i="3"/>
  <c r="AA278" i="3"/>
  <c r="AC217" i="3"/>
  <c r="AA217" i="3"/>
  <c r="AC146" i="3"/>
  <c r="AC208" i="3"/>
  <c r="AA208" i="3"/>
  <c r="AC53" i="3"/>
  <c r="AA53" i="3"/>
  <c r="AC26" i="3"/>
  <c r="AA26" i="3"/>
  <c r="AC253" i="3"/>
  <c r="AA253" i="3"/>
  <c r="AA269" i="3"/>
  <c r="AC141" i="3"/>
  <c r="AA141" i="3"/>
  <c r="AC132" i="3"/>
  <c r="AC249" i="3"/>
  <c r="AA249" i="3"/>
  <c r="AC170" i="3"/>
  <c r="AA170" i="3"/>
  <c r="AC221" i="3"/>
  <c r="AA221" i="3"/>
  <c r="AC225" i="3"/>
  <c r="AA225" i="3"/>
  <c r="AC254" i="3"/>
  <c r="AA254" i="3"/>
  <c r="AC214" i="3"/>
  <c r="AA214" i="3"/>
  <c r="AC235" i="3"/>
  <c r="AC160" i="3"/>
  <c r="AA160" i="3"/>
  <c r="AC271" i="3"/>
  <c r="AA271" i="3"/>
  <c r="AC133" i="3"/>
  <c r="AA133" i="3"/>
  <c r="AC218" i="3"/>
  <c r="AA218" i="3"/>
  <c r="AA284" i="3"/>
  <c r="AC181" i="3"/>
  <c r="AA181" i="3"/>
  <c r="AC61" i="3"/>
  <c r="AC39" i="3"/>
  <c r="AA39" i="3"/>
  <c r="AC54" i="3"/>
  <c r="AA54" i="3"/>
  <c r="AC107" i="3"/>
  <c r="AA107" i="3"/>
  <c r="AC228" i="3"/>
  <c r="AA228" i="3"/>
  <c r="AA180" i="3"/>
  <c r="AC293" i="3"/>
  <c r="AA293" i="3"/>
  <c r="AC74" i="3"/>
  <c r="AA187" i="3"/>
  <c r="AC187" i="3"/>
  <c r="AA128" i="3"/>
  <c r="AC128" i="3"/>
  <c r="AC202" i="3"/>
  <c r="AA255" i="3"/>
  <c r="AC255" i="3"/>
  <c r="AC156" i="3"/>
  <c r="AA156" i="3"/>
  <c r="AA14" i="3"/>
  <c r="AC298" i="3"/>
  <c r="AA298" i="3"/>
  <c r="AC292" i="3"/>
  <c r="AC263" i="3"/>
  <c r="AA263" i="3"/>
  <c r="AC162" i="3"/>
  <c r="AA162" i="3"/>
  <c r="AC197" i="3"/>
  <c r="AA197" i="3"/>
  <c r="AC99" i="3"/>
  <c r="AA99" i="3"/>
  <c r="AC268" i="3"/>
  <c r="AA268" i="3"/>
  <c r="AC11" i="3"/>
  <c r="AA11" i="3"/>
  <c r="AC4" i="3"/>
  <c r="AA4" i="3"/>
  <c r="AC121" i="3"/>
  <c r="AA121" i="3"/>
  <c r="AC296" i="3"/>
  <c r="AA296" i="3"/>
  <c r="AC122" i="3"/>
  <c r="AA122" i="3"/>
  <c r="AC232" i="3"/>
  <c r="AA232" i="3"/>
  <c r="AC3" i="3"/>
  <c r="AA3" i="3"/>
  <c r="AC159" i="3"/>
  <c r="AA159" i="3"/>
  <c r="AC64" i="3"/>
  <c r="AA64" i="3"/>
  <c r="AC185" i="3"/>
  <c r="AA185" i="3"/>
  <c r="AC285" i="3"/>
  <c r="AA285" i="3"/>
  <c r="AC90" i="3"/>
  <c r="AA90" i="3"/>
  <c r="AC104" i="3"/>
  <c r="AA104" i="3"/>
  <c r="AC194" i="3"/>
  <c r="AC184" i="3"/>
  <c r="AA184" i="3"/>
  <c r="AA282" i="3"/>
  <c r="AC282" i="3"/>
  <c r="AC299" i="3"/>
  <c r="AA299" i="3"/>
  <c r="AC21" i="3"/>
  <c r="AA21" i="3"/>
  <c r="AC59" i="3"/>
  <c r="AA59" i="3"/>
  <c r="AC86" i="3"/>
  <c r="AA86" i="3"/>
  <c r="AC123" i="3"/>
  <c r="AA123" i="3"/>
  <c r="AC231" i="3"/>
  <c r="AA231" i="3"/>
  <c r="AC69" i="3"/>
  <c r="AA69" i="3"/>
  <c r="AC226" i="3"/>
  <c r="AA226" i="3"/>
  <c r="AC9" i="3"/>
  <c r="AA9" i="3"/>
  <c r="AC32" i="3"/>
  <c r="AA32" i="3"/>
  <c r="AA219" i="3"/>
  <c r="AC219" i="3"/>
  <c r="AA35" i="3"/>
  <c r="AC35" i="3"/>
  <c r="AA212" i="3"/>
  <c r="AC212" i="3"/>
  <c r="AA31" i="3"/>
  <c r="AC31" i="3"/>
  <c r="AC240" i="3"/>
  <c r="AA240" i="3"/>
  <c r="AC91" i="3"/>
  <c r="AC144" i="3"/>
  <c r="AA144" i="3"/>
  <c r="AC41" i="3"/>
  <c r="AA41" i="3"/>
  <c r="AC5" i="3"/>
  <c r="AA5" i="3"/>
  <c r="AC118" i="3"/>
  <c r="AA118" i="3"/>
  <c r="AC275" i="3"/>
  <c r="AA275" i="3"/>
  <c r="AC148" i="3"/>
  <c r="AA148" i="3"/>
  <c r="AC46" i="3"/>
  <c r="AA46" i="3"/>
  <c r="AC75" i="3"/>
  <c r="AA75" i="3"/>
  <c r="AC178" i="3"/>
  <c r="AA178" i="3"/>
  <c r="AC60" i="3"/>
  <c r="AA60" i="3"/>
  <c r="AC287" i="3"/>
  <c r="AA287" i="3"/>
  <c r="AC24" i="3"/>
  <c r="AA24" i="3"/>
  <c r="AA236" i="3"/>
  <c r="AC236" i="3"/>
  <c r="AC95" i="3"/>
  <c r="AA95" i="3"/>
  <c r="AC290" i="3"/>
  <c r="AA290" i="3"/>
  <c r="AC174" i="3"/>
  <c r="AA174" i="3"/>
  <c r="AC199" i="3"/>
  <c r="AA199" i="3"/>
  <c r="AC28" i="3"/>
  <c r="AA28" i="3"/>
  <c r="AC13" i="3"/>
  <c r="AA13" i="3"/>
  <c r="AC25" i="3"/>
  <c r="AA25" i="3"/>
  <c r="AC167" i="3"/>
  <c r="AA167" i="3"/>
  <c r="AC230" i="3"/>
  <c r="AA230" i="3"/>
  <c r="AC92" i="3"/>
  <c r="AA92" i="3"/>
  <c r="AC117" i="3"/>
  <c r="AA117" i="3"/>
  <c r="AC77" i="3"/>
  <c r="AA77" i="3"/>
  <c r="AC205" i="3"/>
  <c r="AA205" i="3"/>
  <c r="AC42" i="3"/>
  <c r="AA42" i="3"/>
  <c r="AC244" i="3"/>
  <c r="AA244" i="3"/>
  <c r="AA18" i="3"/>
  <c r="AC18" i="3"/>
  <c r="AA179" i="3"/>
  <c r="AC179" i="3"/>
  <c r="AA261" i="3"/>
  <c r="AC261" i="3"/>
  <c r="AA222" i="3"/>
  <c r="AC222" i="3"/>
  <c r="AC155" i="3"/>
  <c r="AA155" i="3"/>
  <c r="AC270" i="3"/>
  <c r="AA270" i="3"/>
  <c r="AC83" i="3"/>
  <c r="AA83" i="3"/>
  <c r="AC297" i="3"/>
  <c r="AA297" i="3"/>
  <c r="AC204" i="3"/>
  <c r="AA204" i="3"/>
  <c r="AC168" i="3"/>
  <c r="AA168" i="3"/>
  <c r="AC248" i="3"/>
  <c r="AA248" i="3"/>
  <c r="AC17" i="3"/>
  <c r="AA17" i="3"/>
  <c r="AC177" i="3"/>
  <c r="AA177" i="3"/>
  <c r="AC112" i="3"/>
  <c r="AA112" i="3"/>
  <c r="AC251" i="3"/>
  <c r="AA251" i="3"/>
  <c r="AC171" i="3"/>
  <c r="AA171" i="3"/>
  <c r="AC29" i="3"/>
  <c r="AA29" i="3"/>
  <c r="AC19" i="3"/>
  <c r="AA19" i="3"/>
  <c r="AC280" i="3"/>
  <c r="AA280" i="3"/>
  <c r="AC239" i="3"/>
  <c r="AA239" i="3"/>
  <c r="AA286" i="3"/>
  <c r="AC286" i="3"/>
  <c r="AC151" i="3"/>
  <c r="AA151" i="3"/>
  <c r="AC189" i="3"/>
  <c r="AA189" i="3"/>
  <c r="AC135" i="3"/>
  <c r="AA135" i="3"/>
  <c r="AC97" i="3"/>
  <c r="AA97" i="3"/>
  <c r="AC291" i="3"/>
  <c r="AA291" i="3"/>
  <c r="AC88" i="3"/>
  <c r="AA88" i="3"/>
  <c r="AC115" i="3"/>
  <c r="AA115" i="3"/>
  <c r="AC198" i="3"/>
  <c r="AA198" i="3"/>
  <c r="AC246" i="3"/>
  <c r="AA246" i="3"/>
  <c r="AC209" i="3"/>
  <c r="AA209" i="3"/>
  <c r="AC84" i="3"/>
  <c r="AA84" i="3"/>
  <c r="AC257" i="3"/>
  <c r="AA257" i="3"/>
  <c r="AC252" i="3"/>
  <c r="AA252" i="3"/>
  <c r="AC68" i="3"/>
  <c r="AA68" i="3"/>
  <c r="AC78" i="3"/>
  <c r="AA78" i="3"/>
  <c r="AA23" i="3"/>
  <c r="AC23" i="3"/>
  <c r="AA30" i="3"/>
  <c r="AC30" i="3"/>
  <c r="AA47" i="3"/>
  <c r="AC47" i="3"/>
  <c r="AA224" i="3"/>
  <c r="AC224" i="3"/>
  <c r="AC281" i="3"/>
  <c r="AA281" i="3"/>
  <c r="AC100" i="3"/>
  <c r="AA100" i="3"/>
  <c r="AC124" i="3"/>
  <c r="AA124" i="3"/>
  <c r="AC139" i="3"/>
  <c r="AA139" i="3"/>
  <c r="AC76" i="3"/>
  <c r="AA76" i="3"/>
  <c r="AC119" i="3"/>
  <c r="AA119" i="3"/>
  <c r="AC45" i="3"/>
  <c r="AA45" i="3"/>
  <c r="AC206" i="3"/>
  <c r="AA206" i="3"/>
  <c r="AC15" i="3"/>
  <c r="AA15" i="3"/>
  <c r="AC55" i="3"/>
  <c r="AA55" i="3"/>
  <c r="AC80" i="3"/>
  <c r="AA80" i="3"/>
  <c r="AC147" i="3"/>
  <c r="AA147" i="3"/>
  <c r="AC81" i="3"/>
  <c r="AA81" i="3"/>
  <c r="AC72" i="3"/>
  <c r="AA72" i="3"/>
  <c r="AA62" i="3"/>
  <c r="AA200" i="3"/>
  <c r="AC207" i="3"/>
  <c r="AC10" i="3"/>
  <c r="AC234" i="3"/>
  <c r="AA229" i="3"/>
  <c r="AC169" i="3"/>
  <c r="AA191" i="3"/>
  <c r="AA12" i="3"/>
  <c r="AC195" i="3"/>
  <c r="AA149" i="3"/>
  <c r="AC157" i="3"/>
  <c r="AC188" i="3"/>
  <c r="AA262" i="3"/>
  <c r="AA292" i="3"/>
  <c r="AC52" i="3"/>
  <c r="AA74" i="3"/>
  <c r="AA272" i="3"/>
  <c r="AA6" i="3"/>
  <c r="AC38" i="3"/>
  <c r="AA176" i="3"/>
  <c r="AA294" i="3"/>
  <c r="AA96" i="3"/>
  <c r="AC93" i="3"/>
  <c r="AC211" i="3"/>
  <c r="AA211" i="3"/>
  <c r="AC130" i="3"/>
  <c r="AA125" i="3"/>
  <c r="AC111" i="3"/>
  <c r="AA202" i="3"/>
  <c r="AC44" i="3"/>
  <c r="AA169" i="3"/>
  <c r="AC192" i="3"/>
  <c r="AC284" i="3"/>
  <c r="AA266" i="3"/>
  <c r="AC283" i="3"/>
  <c r="AC37" i="3"/>
  <c r="AC109" i="3"/>
  <c r="AC136" i="3"/>
  <c r="AA295" i="3"/>
  <c r="AC180" i="3"/>
  <c r="AA158" i="3"/>
  <c r="AA52" i="3"/>
  <c r="AC140" i="3"/>
  <c r="AA138" i="3"/>
  <c r="AC138" i="3"/>
  <c r="AC227" i="3"/>
  <c r="AA227" i="3"/>
  <c r="AA57" i="3"/>
  <c r="AA134" i="3"/>
  <c r="AC190" i="3"/>
  <c r="AA161" i="3"/>
  <c r="AA259" i="3"/>
  <c r="AC278" i="3"/>
  <c r="AC265" i="3"/>
  <c r="AA61" i="3"/>
  <c r="AA110" i="3"/>
  <c r="AC229" i="3"/>
  <c r="AC266" i="3"/>
  <c r="AA157" i="3"/>
  <c r="AC131" i="3"/>
  <c r="AC274" i="3"/>
  <c r="AA91" i="3"/>
  <c r="AA108" i="3"/>
  <c r="AA234" i="3"/>
  <c r="AC106" i="3"/>
  <c r="AA132" i="3"/>
  <c r="AC116" i="3"/>
  <c r="AA194" i="3"/>
  <c r="AA109" i="3"/>
  <c r="AA37" i="3"/>
  <c r="AC14" i="3"/>
  <c r="AC269" i="3"/>
  <c r="AC245" i="3"/>
  <c r="AA188" i="3"/>
  <c r="AA265" i="3"/>
  <c r="AA235" i="3"/>
  <c r="AC6" i="3"/>
  <c r="AA143" i="3"/>
  <c r="AA136" i="3"/>
  <c r="AC62" i="3"/>
  <c r="AA146" i="3"/>
  <c r="AA183" i="3"/>
  <c r="AC259" i="3"/>
  <c r="Y3" i="1"/>
  <c r="Y250" i="1"/>
  <c r="Y306" i="1"/>
  <c r="Y311" i="1"/>
  <c r="Y50" i="1"/>
  <c r="Y13" i="1"/>
  <c r="X13" i="3" s="1"/>
  <c r="Y114" i="1"/>
  <c r="Y80" i="1"/>
  <c r="Y121" i="1"/>
  <c r="W231" i="1"/>
  <c r="W25" i="1"/>
  <c r="V25" i="3" s="1"/>
  <c r="W244" i="1"/>
  <c r="W168" i="1"/>
  <c r="X44" i="1"/>
  <c r="W142" i="1"/>
  <c r="W218" i="1"/>
  <c r="Y48" i="1"/>
  <c r="X48" i="3" s="1"/>
  <c r="Y163" i="1"/>
  <c r="Y9" i="1"/>
  <c r="X9" i="3" s="1"/>
  <c r="Y106" i="1"/>
  <c r="Y2" i="1"/>
  <c r="X2" i="3" s="1"/>
  <c r="Y115" i="1"/>
  <c r="Y279" i="1"/>
  <c r="Y92" i="1"/>
  <c r="X92" i="3" s="1"/>
  <c r="Y304" i="1"/>
  <c r="Y98" i="1"/>
  <c r="X98" i="3" s="1"/>
  <c r="Y284" i="1"/>
  <c r="Y97" i="1"/>
  <c r="Y310" i="1"/>
  <c r="Y104" i="1"/>
  <c r="Y309" i="1"/>
  <c r="Y103" i="1"/>
  <c r="Y308" i="1"/>
  <c r="Y102" i="1"/>
  <c r="Y322" i="1"/>
  <c r="Y113" i="1"/>
  <c r="W209" i="1"/>
  <c r="W230" i="1"/>
  <c r="W220" i="1"/>
  <c r="W165" i="1"/>
  <c r="W45" i="1"/>
  <c r="W260" i="1"/>
  <c r="W216" i="1"/>
  <c r="W109" i="1"/>
  <c r="Y315" i="1"/>
  <c r="W49" i="1"/>
  <c r="Y107" i="1"/>
  <c r="Y138" i="1"/>
  <c r="Y321" i="1"/>
  <c r="Y319" i="1"/>
  <c r="Y116" i="1"/>
  <c r="Y265" i="1"/>
  <c r="Y81" i="1"/>
  <c r="Y277" i="1"/>
  <c r="Y90" i="1"/>
  <c r="X90" i="3" s="1"/>
  <c r="Y276" i="1"/>
  <c r="Y89" i="1"/>
  <c r="Y283" i="1"/>
  <c r="Y96" i="1"/>
  <c r="Y282" i="1"/>
  <c r="Y95" i="1"/>
  <c r="Y281" i="1"/>
  <c r="Y94" i="1"/>
  <c r="Y307" i="1"/>
  <c r="Y101" i="1"/>
  <c r="W208" i="1"/>
  <c r="W300" i="1"/>
  <c r="W61" i="1"/>
  <c r="W243" i="1"/>
  <c r="X167" i="1"/>
  <c r="X32" i="1"/>
  <c r="Y173" i="1"/>
  <c r="W259" i="1"/>
  <c r="W301" i="1"/>
  <c r="Y312" i="1"/>
  <c r="Y278" i="1"/>
  <c r="Y320" i="1"/>
  <c r="Y100" i="1"/>
  <c r="X100" i="3" s="1"/>
  <c r="Y105" i="1"/>
  <c r="Y251" i="1"/>
  <c r="Y51" i="1"/>
  <c r="Y262" i="1"/>
  <c r="Y79" i="1"/>
  <c r="X79" i="3" s="1"/>
  <c r="Y261" i="1"/>
  <c r="Y78" i="1"/>
  <c r="Y275" i="1"/>
  <c r="Y88" i="1"/>
  <c r="Y274" i="1"/>
  <c r="Y87" i="1"/>
  <c r="Y273" i="1"/>
  <c r="Y86" i="1"/>
  <c r="Y280" i="1"/>
  <c r="Y93" i="1"/>
  <c r="W210" i="1"/>
  <c r="X147" i="1"/>
  <c r="W246" i="1"/>
  <c r="W83" i="1"/>
  <c r="W28" i="1"/>
  <c r="W110" i="1"/>
  <c r="W122" i="1"/>
  <c r="Y305" i="1"/>
  <c r="Y151" i="1"/>
  <c r="Y160" i="1"/>
  <c r="Y181" i="1"/>
  <c r="Y14" i="1"/>
  <c r="X14" i="3" s="1"/>
  <c r="Y249" i="1"/>
  <c r="Y27" i="1"/>
  <c r="Y214" i="1"/>
  <c r="Y26" i="1"/>
  <c r="Y255" i="1"/>
  <c r="Y71" i="1"/>
  <c r="Y254" i="1"/>
  <c r="Y70" i="1"/>
  <c r="Y253" i="1"/>
  <c r="Y69" i="1"/>
  <c r="Y266" i="1"/>
  <c r="Y82" i="1"/>
  <c r="W73" i="1"/>
  <c r="W146" i="1"/>
  <c r="W245" i="1"/>
  <c r="X242" i="1"/>
  <c r="W123" i="1"/>
  <c r="Y176" i="1"/>
  <c r="W185" i="1"/>
  <c r="W316" i="1"/>
  <c r="W148" i="1"/>
  <c r="W6" i="1"/>
  <c r="V6" i="3" s="1"/>
  <c r="Y12" i="1"/>
  <c r="X12" i="3" s="1"/>
  <c r="Y162" i="1"/>
  <c r="Y11" i="1"/>
  <c r="X11" i="3" s="1"/>
  <c r="Y213" i="1"/>
  <c r="Y18" i="1"/>
  <c r="X18" i="3" s="1"/>
  <c r="Y212" i="1"/>
  <c r="Y17" i="1"/>
  <c r="X17" i="3" s="1"/>
  <c r="Y183" i="1"/>
  <c r="Y16" i="1"/>
  <c r="X16" i="3" s="1"/>
  <c r="Y252" i="1"/>
  <c r="Y52" i="1"/>
  <c r="W324" i="1"/>
  <c r="W247" i="1"/>
  <c r="W136" i="1"/>
  <c r="X171" i="1"/>
  <c r="W39" i="1"/>
  <c r="X205" i="1"/>
  <c r="W318" i="1"/>
  <c r="X33" i="1"/>
  <c r="W4" i="1"/>
  <c r="V4" i="3" s="1"/>
  <c r="Y120" i="1"/>
  <c r="Y161" i="1"/>
  <c r="Y155" i="1"/>
  <c r="Y8" i="1"/>
  <c r="X8" i="3" s="1"/>
  <c r="Y182" i="1"/>
  <c r="Y15" i="1"/>
  <c r="X15" i="3" s="1"/>
  <c r="W74" i="1"/>
  <c r="W323" i="1"/>
  <c r="W67" i="1"/>
  <c r="W22" i="1"/>
  <c r="W289" i="1"/>
  <c r="W287" i="1"/>
  <c r="W295" i="1"/>
  <c r="W174" i="1"/>
  <c r="Y153" i="1"/>
  <c r="Y10" i="1"/>
  <c r="X10" i="3" s="1"/>
  <c r="Y108" i="1"/>
  <c r="Y99" i="1"/>
  <c r="Y118" i="1"/>
  <c r="X115" i="3" s="1"/>
  <c r="Y91" i="1"/>
  <c r="X88" i="3" s="1"/>
  <c r="Y117" i="1"/>
  <c r="Y119" i="1"/>
  <c r="Y134" i="1"/>
  <c r="Y164" i="1"/>
  <c r="Y133" i="1"/>
  <c r="Y152" i="1"/>
  <c r="X152" i="3" s="1"/>
  <c r="Y132" i="1"/>
  <c r="Y263" i="1"/>
  <c r="Y154" i="1"/>
  <c r="Y7" i="1"/>
  <c r="X7" i="3" s="1"/>
  <c r="W294" i="1"/>
  <c r="W232" i="1"/>
  <c r="W264" i="1"/>
  <c r="Y288" i="1"/>
  <c r="X126" i="1"/>
  <c r="W291" i="1"/>
  <c r="W207" i="1"/>
  <c r="X37" i="1"/>
  <c r="W35" i="1"/>
  <c r="W21" i="1"/>
  <c r="X21" i="1"/>
  <c r="Y21" i="1"/>
  <c r="X19" i="1"/>
  <c r="Y19" i="1"/>
  <c r="W19" i="1"/>
  <c r="V19" i="3" s="1"/>
  <c r="W20" i="1"/>
  <c r="X20" i="1"/>
  <c r="Y20" i="1"/>
  <c r="X122" i="1"/>
  <c r="Y122" i="1"/>
  <c r="X48" i="1"/>
  <c r="W48" i="1"/>
  <c r="W144" i="1"/>
  <c r="X144" i="1"/>
  <c r="Y144" i="1"/>
  <c r="Y49" i="1"/>
  <c r="X49" i="1"/>
  <c r="X47" i="1"/>
  <c r="Y47" i="1"/>
  <c r="W47" i="1"/>
  <c r="X297" i="1"/>
  <c r="Y297" i="1"/>
  <c r="W297" i="1"/>
  <c r="Y298" i="1"/>
  <c r="X298" i="1"/>
  <c r="W298" i="1"/>
  <c r="Y221" i="1"/>
  <c r="X221" i="1"/>
  <c r="W221" i="1"/>
  <c r="W223" i="1"/>
  <c r="X223" i="1"/>
  <c r="Y223" i="1"/>
  <c r="W179" i="1"/>
  <c r="X179" i="1"/>
  <c r="Y179" i="1"/>
  <c r="Y222" i="1"/>
  <c r="W222" i="1"/>
  <c r="X222" i="1"/>
  <c r="X177" i="1"/>
  <c r="W177" i="1"/>
  <c r="Y177" i="1"/>
  <c r="W296" i="1"/>
  <c r="X296" i="1"/>
  <c r="Y296" i="1"/>
  <c r="W178" i="1"/>
  <c r="Y178" i="1"/>
  <c r="X178" i="1"/>
  <c r="Y6" i="1"/>
  <c r="X6" i="1"/>
  <c r="W6" i="3" s="1"/>
  <c r="Y4" i="1"/>
  <c r="X4" i="1"/>
  <c r="W4" i="3" s="1"/>
  <c r="W5" i="1"/>
  <c r="V5" i="3" s="1"/>
  <c r="X5" i="1"/>
  <c r="W5" i="3" s="1"/>
  <c r="Y5" i="1"/>
  <c r="X315" i="1"/>
  <c r="Y110" i="1"/>
  <c r="Y37" i="1"/>
  <c r="X110" i="1"/>
  <c r="W37" i="1"/>
  <c r="Y109" i="1"/>
  <c r="X109" i="1"/>
  <c r="W33" i="1"/>
  <c r="X312" i="1"/>
  <c r="W312" i="1"/>
  <c r="W315" i="1"/>
  <c r="Y35" i="1"/>
  <c r="X35" i="1"/>
  <c r="Y33" i="1"/>
  <c r="X314" i="1"/>
  <c r="Y314" i="1"/>
  <c r="W314" i="1"/>
  <c r="W313" i="1"/>
  <c r="X313" i="1"/>
  <c r="Y313" i="1"/>
  <c r="W34" i="1"/>
  <c r="X34" i="1"/>
  <c r="Y34" i="1"/>
  <c r="W112" i="1"/>
  <c r="X112" i="1"/>
  <c r="Y112" i="1"/>
  <c r="X112" i="3" s="1"/>
  <c r="W111" i="1"/>
  <c r="X111" i="1"/>
  <c r="Y111" i="1"/>
  <c r="W38" i="1"/>
  <c r="X38" i="1"/>
  <c r="Y38" i="1"/>
  <c r="X148" i="1"/>
  <c r="Y148" i="1"/>
  <c r="X148" i="3" s="1"/>
  <c r="W36" i="1"/>
  <c r="V36" i="3" s="1"/>
  <c r="X36" i="1"/>
  <c r="Y36" i="1"/>
  <c r="W150" i="1"/>
  <c r="X150" i="1"/>
  <c r="Y150" i="1"/>
  <c r="W149" i="1"/>
  <c r="X149" i="1"/>
  <c r="Y149" i="1"/>
  <c r="X149" i="3" s="1"/>
  <c r="Y216" i="1"/>
  <c r="X216" i="1"/>
  <c r="Y218" i="1"/>
  <c r="X218" i="1"/>
  <c r="W215" i="1"/>
  <c r="X215" i="1"/>
  <c r="Y215" i="1"/>
  <c r="W217" i="1"/>
  <c r="X217" i="1"/>
  <c r="Y217" i="1"/>
  <c r="Y316" i="1"/>
  <c r="X316" i="1"/>
  <c r="Y318" i="1"/>
  <c r="X318" i="1"/>
  <c r="W317" i="1"/>
  <c r="X317" i="1"/>
  <c r="Y317" i="1"/>
  <c r="Y301" i="1"/>
  <c r="X301" i="1"/>
  <c r="W302" i="1"/>
  <c r="Y302" i="1"/>
  <c r="X302" i="1"/>
  <c r="W303" i="1"/>
  <c r="X303" i="1"/>
  <c r="Y303" i="1"/>
  <c r="X185" i="1"/>
  <c r="Y207" i="1"/>
  <c r="X207" i="1"/>
  <c r="Y185" i="1"/>
  <c r="W206" i="1"/>
  <c r="X206" i="1"/>
  <c r="Y206" i="1"/>
  <c r="Y205" i="1"/>
  <c r="W205" i="1"/>
  <c r="W184" i="1"/>
  <c r="X184" i="1"/>
  <c r="Y184" i="1"/>
  <c r="X259" i="1"/>
  <c r="Y259" i="1"/>
  <c r="X260" i="1"/>
  <c r="Y260" i="1"/>
  <c r="Y142" i="1"/>
  <c r="X142" i="1"/>
  <c r="W143" i="1"/>
  <c r="X143" i="1"/>
  <c r="Y143" i="1"/>
  <c r="W141" i="1"/>
  <c r="X141" i="1"/>
  <c r="Y141" i="1"/>
  <c r="Y39" i="1"/>
  <c r="X39" i="1"/>
  <c r="X41" i="1"/>
  <c r="W38" i="3" s="1"/>
  <c r="W41" i="1"/>
  <c r="Y41" i="1"/>
  <c r="W42" i="1"/>
  <c r="Y42" i="1"/>
  <c r="X42" i="1"/>
  <c r="X176" i="1"/>
  <c r="W40" i="1"/>
  <c r="X40" i="1"/>
  <c r="Y40" i="1"/>
  <c r="W44" i="1"/>
  <c r="Y44" i="1"/>
  <c r="X45" i="1"/>
  <c r="Y45" i="1"/>
  <c r="X45" i="3" s="1"/>
  <c r="W43" i="1"/>
  <c r="X43" i="1"/>
  <c r="Y43" i="1"/>
  <c r="X173" i="1"/>
  <c r="X174" i="1"/>
  <c r="W173" i="1"/>
  <c r="Y174" i="1"/>
  <c r="W176" i="1"/>
  <c r="Y46" i="1"/>
  <c r="W46" i="1"/>
  <c r="X46" i="1"/>
  <c r="W172" i="1"/>
  <c r="X172" i="1"/>
  <c r="Y172" i="1"/>
  <c r="W175" i="1"/>
  <c r="X175" i="1"/>
  <c r="Y175" i="1"/>
  <c r="W292" i="1"/>
  <c r="X292" i="1"/>
  <c r="Y292" i="1"/>
  <c r="Y291" i="1"/>
  <c r="X291" i="1"/>
  <c r="X295" i="1"/>
  <c r="Y295" i="1"/>
  <c r="W171" i="1"/>
  <c r="Y171" i="1"/>
  <c r="W170" i="1"/>
  <c r="X170" i="1"/>
  <c r="Y170" i="1"/>
  <c r="X169" i="1"/>
  <c r="Y169" i="1"/>
  <c r="W169" i="1"/>
  <c r="W32" i="1"/>
  <c r="V32" i="3" s="1"/>
  <c r="Y32" i="1"/>
  <c r="W31" i="1"/>
  <c r="X31" i="1"/>
  <c r="Y31" i="1"/>
  <c r="W30" i="1"/>
  <c r="X30" i="1"/>
  <c r="W30" i="3" s="1"/>
  <c r="Y30" i="1"/>
  <c r="Y126" i="1"/>
  <c r="W126" i="1"/>
  <c r="W127" i="1"/>
  <c r="Y127" i="1"/>
  <c r="X127" i="1"/>
  <c r="W124" i="1"/>
  <c r="X124" i="1"/>
  <c r="Y124" i="1"/>
  <c r="Y123" i="1"/>
  <c r="X123" i="1"/>
  <c r="W125" i="1"/>
  <c r="X125" i="1"/>
  <c r="Y125" i="1"/>
  <c r="Y167" i="1"/>
  <c r="W167" i="1"/>
  <c r="Y165" i="1"/>
  <c r="X165" i="1"/>
  <c r="Y168" i="1"/>
  <c r="X168" i="1"/>
  <c r="W166" i="1"/>
  <c r="Y166" i="1"/>
  <c r="X166" i="1"/>
  <c r="Y287" i="1"/>
  <c r="X287" i="1"/>
  <c r="X285" i="1"/>
  <c r="Y285" i="1"/>
  <c r="W285" i="1"/>
  <c r="W286" i="1"/>
  <c r="X286" i="1"/>
  <c r="Y286" i="1"/>
  <c r="Y28" i="1"/>
  <c r="X28" i="1"/>
  <c r="W29" i="1"/>
  <c r="X29" i="1"/>
  <c r="W29" i="3" s="1"/>
  <c r="Y29" i="1"/>
  <c r="Y220" i="1"/>
  <c r="X220" i="1"/>
  <c r="X219" i="1"/>
  <c r="Y219" i="1"/>
  <c r="W219" i="1"/>
  <c r="W288" i="1"/>
  <c r="Y289" i="1"/>
  <c r="X288" i="1"/>
  <c r="X289" i="1"/>
  <c r="X136" i="1"/>
  <c r="Y136" i="1"/>
  <c r="W135" i="1"/>
  <c r="Y135" i="1"/>
  <c r="X135" i="1"/>
  <c r="Y83" i="1"/>
  <c r="X83" i="3" s="1"/>
  <c r="X83" i="1"/>
  <c r="X85" i="1"/>
  <c r="W85" i="1"/>
  <c r="Y85" i="1"/>
  <c r="W84" i="1"/>
  <c r="X84" i="1"/>
  <c r="Y84" i="1"/>
  <c r="X84" i="3" s="1"/>
  <c r="W140" i="1"/>
  <c r="X140" i="1"/>
  <c r="Y140" i="1"/>
  <c r="X264" i="1"/>
  <c r="Y264" i="1"/>
  <c r="X240" i="1"/>
  <c r="Y240" i="1"/>
  <c r="W240" i="1"/>
  <c r="W241" i="1"/>
  <c r="X241" i="1"/>
  <c r="Y241" i="1"/>
  <c r="Y242" i="1"/>
  <c r="W242" i="1"/>
  <c r="W239" i="1"/>
  <c r="X239" i="1"/>
  <c r="Y239" i="1"/>
  <c r="W235" i="1"/>
  <c r="X235" i="1"/>
  <c r="Y235" i="1"/>
  <c r="W157" i="1"/>
  <c r="X157" i="1"/>
  <c r="Y157" i="1"/>
  <c r="W156" i="1"/>
  <c r="X156" i="1"/>
  <c r="Y156" i="1"/>
  <c r="W158" i="1"/>
  <c r="X158" i="1"/>
  <c r="Y158" i="1"/>
  <c r="Y247" i="1"/>
  <c r="X247" i="1"/>
  <c r="Y245" i="1"/>
  <c r="X245" i="1"/>
  <c r="Y246" i="1"/>
  <c r="X246" i="1"/>
  <c r="Y243" i="1"/>
  <c r="X243" i="1"/>
  <c r="W248" i="1"/>
  <c r="X248" i="1"/>
  <c r="Y248" i="1"/>
  <c r="Y244" i="1"/>
  <c r="X244" i="1"/>
  <c r="W234" i="1"/>
  <c r="X234" i="1"/>
  <c r="Y234" i="1"/>
  <c r="W233" i="1"/>
  <c r="X233" i="1"/>
  <c r="Y233" i="1"/>
  <c r="W58" i="1"/>
  <c r="X58" i="1"/>
  <c r="Y58" i="1"/>
  <c r="W57" i="1"/>
  <c r="X57" i="1"/>
  <c r="Y57" i="1"/>
  <c r="W59" i="1"/>
  <c r="X59" i="1"/>
  <c r="Y59" i="1"/>
  <c r="W60" i="1"/>
  <c r="X60" i="1"/>
  <c r="Y60" i="1"/>
  <c r="W55" i="1"/>
  <c r="X55" i="1"/>
  <c r="Y55" i="1"/>
  <c r="W54" i="1"/>
  <c r="X54" i="1"/>
  <c r="Y54" i="1"/>
  <c r="W56" i="1"/>
  <c r="X56" i="1"/>
  <c r="Y56" i="1"/>
  <c r="W256" i="1"/>
  <c r="X256" i="1"/>
  <c r="Y256" i="1"/>
  <c r="W257" i="1"/>
  <c r="X257" i="1"/>
  <c r="Y257" i="1"/>
  <c r="W258" i="1"/>
  <c r="X258" i="1"/>
  <c r="Y258" i="1"/>
  <c r="W188" i="1"/>
  <c r="X188" i="1"/>
  <c r="Y188" i="1"/>
  <c r="W189" i="1"/>
  <c r="X189" i="1"/>
  <c r="Y189" i="1"/>
  <c r="W190" i="1"/>
  <c r="X190" i="1"/>
  <c r="Y190" i="1"/>
  <c r="X25" i="1"/>
  <c r="Y25" i="1"/>
  <c r="X23" i="1"/>
  <c r="Y23" i="1"/>
  <c r="X23" i="3" s="1"/>
  <c r="W23" i="1"/>
  <c r="Y22" i="1"/>
  <c r="X22" i="1"/>
  <c r="W24" i="1"/>
  <c r="X24" i="1"/>
  <c r="Y24" i="1"/>
  <c r="W77" i="1"/>
  <c r="X77" i="1"/>
  <c r="Y77" i="1"/>
  <c r="X76" i="1"/>
  <c r="Y76" i="1"/>
  <c r="X76" i="3" s="1"/>
  <c r="W76" i="1"/>
  <c r="W75" i="1"/>
  <c r="Y75" i="1"/>
  <c r="X75" i="3" s="1"/>
  <c r="X75" i="1"/>
  <c r="Y230" i="1"/>
  <c r="X230" i="1"/>
  <c r="Y231" i="1"/>
  <c r="X231" i="1"/>
  <c r="Y232" i="1"/>
  <c r="X232" i="1"/>
  <c r="W203" i="1"/>
  <c r="X203" i="1"/>
  <c r="Y203" i="1"/>
  <c r="W202" i="1"/>
  <c r="X202" i="1"/>
  <c r="Y202" i="1"/>
  <c r="Y204" i="1"/>
  <c r="W204" i="1"/>
  <c r="X204" i="1"/>
  <c r="Y200" i="1"/>
  <c r="W200" i="1"/>
  <c r="X200" i="1"/>
  <c r="W199" i="1"/>
  <c r="Y199" i="1"/>
  <c r="X199" i="1"/>
  <c r="W201" i="1"/>
  <c r="X201" i="1"/>
  <c r="Y201" i="1"/>
  <c r="W198" i="1"/>
  <c r="X198" i="1"/>
  <c r="Y198" i="1"/>
  <c r="W197" i="1"/>
  <c r="X197" i="1"/>
  <c r="Y197" i="1"/>
  <c r="Y271" i="1"/>
  <c r="W271" i="1"/>
  <c r="X271" i="1"/>
  <c r="W270" i="1"/>
  <c r="Y270" i="1"/>
  <c r="X270" i="1"/>
  <c r="W272" i="1"/>
  <c r="X272" i="1"/>
  <c r="Y272" i="1"/>
  <c r="W268" i="1"/>
  <c r="X268" i="1"/>
  <c r="Y268" i="1"/>
  <c r="W267" i="1"/>
  <c r="X267" i="1"/>
  <c r="Y267" i="1"/>
  <c r="W269" i="1"/>
  <c r="X269" i="1"/>
  <c r="Y269" i="1"/>
  <c r="X67" i="1"/>
  <c r="X68" i="1"/>
  <c r="Y68" i="1"/>
  <c r="W68" i="1"/>
  <c r="W66" i="1"/>
  <c r="X66" i="1"/>
  <c r="Y66" i="1"/>
  <c r="X66" i="3" s="1"/>
  <c r="Y67" i="1"/>
  <c r="W63" i="1"/>
  <c r="Y63" i="1"/>
  <c r="X63" i="1"/>
  <c r="X65" i="1"/>
  <c r="W65" i="1"/>
  <c r="Y65" i="1"/>
  <c r="Y64" i="1"/>
  <c r="W64" i="1"/>
  <c r="X64" i="1"/>
  <c r="Y61" i="1"/>
  <c r="X61" i="1"/>
  <c r="W62" i="1"/>
  <c r="X62" i="1"/>
  <c r="Y62" i="1"/>
  <c r="W193" i="1"/>
  <c r="X193" i="1"/>
  <c r="Y193" i="1"/>
  <c r="W191" i="1"/>
  <c r="X191" i="1"/>
  <c r="Y191" i="1"/>
  <c r="W192" i="1"/>
  <c r="X192" i="1"/>
  <c r="Y192" i="1"/>
  <c r="X145" i="1"/>
  <c r="W142" i="3" s="1"/>
  <c r="Y145" i="1"/>
  <c r="W145" i="1"/>
  <c r="Y146" i="1"/>
  <c r="X143" i="3" s="1"/>
  <c r="X146" i="1"/>
  <c r="W147" i="1"/>
  <c r="Y147" i="1"/>
  <c r="Y300" i="1"/>
  <c r="X300" i="1"/>
  <c r="W299" i="1"/>
  <c r="X299" i="1"/>
  <c r="Y299" i="1"/>
  <c r="W290" i="1"/>
  <c r="X290" i="1"/>
  <c r="Y290" i="1"/>
  <c r="W137" i="1"/>
  <c r="X137" i="1"/>
  <c r="Y137" i="1"/>
  <c r="Y323" i="1"/>
  <c r="X323" i="1"/>
  <c r="Y324" i="1"/>
  <c r="X324" i="1"/>
  <c r="W293" i="1"/>
  <c r="X293" i="1"/>
  <c r="Y293" i="1"/>
  <c r="W53" i="1"/>
  <c r="X53" i="1"/>
  <c r="Y53" i="1"/>
  <c r="W139" i="1"/>
  <c r="X139" i="1"/>
  <c r="Y139" i="1"/>
  <c r="W187" i="1"/>
  <c r="X187" i="1"/>
  <c r="Y187" i="1"/>
  <c r="W186" i="1"/>
  <c r="X186" i="1"/>
  <c r="Y186" i="1"/>
  <c r="Y294" i="1"/>
  <c r="X294" i="1"/>
  <c r="Y74" i="1"/>
  <c r="X74" i="1"/>
  <c r="W72" i="1"/>
  <c r="X72" i="1"/>
  <c r="Y72" i="1"/>
  <c r="X69" i="3" s="1"/>
  <c r="Y73" i="1"/>
  <c r="X73" i="1"/>
  <c r="Y210" i="1"/>
  <c r="X210" i="1"/>
  <c r="Y208" i="1"/>
  <c r="X208" i="1"/>
  <c r="Y209" i="1"/>
  <c r="X209" i="1"/>
  <c r="W211" i="1"/>
  <c r="X211" i="1"/>
  <c r="Y211" i="1"/>
  <c r="X210" i="3" s="1"/>
  <c r="Y129" i="1"/>
  <c r="X126" i="3" s="1"/>
  <c r="W129" i="1"/>
  <c r="V126" i="3" s="1"/>
  <c r="X129" i="1"/>
  <c r="Y131" i="1"/>
  <c r="X131" i="3" s="1"/>
  <c r="W131" i="1"/>
  <c r="X131" i="1"/>
  <c r="Y130" i="1"/>
  <c r="W130" i="1"/>
  <c r="X130" i="1"/>
  <c r="W128" i="1"/>
  <c r="X128" i="1"/>
  <c r="Y128" i="1"/>
  <c r="W196" i="1"/>
  <c r="X196" i="1"/>
  <c r="Y196" i="1"/>
  <c r="X195" i="1"/>
  <c r="W195" i="1"/>
  <c r="Y195" i="1"/>
  <c r="W194" i="1"/>
  <c r="X194" i="1"/>
  <c r="Y194" i="1"/>
  <c r="W180" i="1"/>
  <c r="X180" i="1"/>
  <c r="Y180" i="1"/>
  <c r="W97" i="1"/>
  <c r="X97" i="1"/>
  <c r="X306" i="1"/>
  <c r="W306" i="1"/>
  <c r="X100" i="1"/>
  <c r="W100" i="1"/>
  <c r="W319" i="1"/>
  <c r="X319" i="1"/>
  <c r="W106" i="1"/>
  <c r="V106" i="3" s="1"/>
  <c r="X106" i="1"/>
  <c r="W311" i="1"/>
  <c r="X311" i="1"/>
  <c r="X105" i="1"/>
  <c r="W105" i="1"/>
  <c r="X2" i="1"/>
  <c r="W2" i="1"/>
  <c r="W116" i="1"/>
  <c r="X116" i="1"/>
  <c r="X50" i="1"/>
  <c r="W50" i="1"/>
  <c r="X115" i="1"/>
  <c r="W115" i="1"/>
  <c r="X13" i="1"/>
  <c r="W13" i="3" s="1"/>
  <c r="W13" i="1"/>
  <c r="V13" i="3" s="1"/>
  <c r="X114" i="1"/>
  <c r="W114" i="1"/>
  <c r="X80" i="1"/>
  <c r="W80" i="1"/>
  <c r="X121" i="1"/>
  <c r="W121" i="1"/>
  <c r="X279" i="1"/>
  <c r="W279" i="1"/>
  <c r="X309" i="1"/>
  <c r="W309" i="1"/>
  <c r="X102" i="1"/>
  <c r="W102" i="1"/>
  <c r="X265" i="1"/>
  <c r="W265" i="1"/>
  <c r="X81" i="1"/>
  <c r="W81" i="1"/>
  <c r="W277" i="1"/>
  <c r="X277" i="1"/>
  <c r="W90" i="1"/>
  <c r="X90" i="1"/>
  <c r="W276" i="1"/>
  <c r="X276" i="1"/>
  <c r="W89" i="1"/>
  <c r="X89" i="1"/>
  <c r="W283" i="1"/>
  <c r="X283" i="1"/>
  <c r="W96" i="1"/>
  <c r="X96" i="1"/>
  <c r="X282" i="1"/>
  <c r="W282" i="1"/>
  <c r="X95" i="1"/>
  <c r="W95" i="1"/>
  <c r="X281" i="1"/>
  <c r="W281" i="1"/>
  <c r="W94" i="1"/>
  <c r="X94" i="1"/>
  <c r="X307" i="1"/>
  <c r="W307" i="1"/>
  <c r="X101" i="1"/>
  <c r="W101" i="1"/>
  <c r="W98" i="1"/>
  <c r="X98" i="1"/>
  <c r="X308" i="1"/>
  <c r="W308" i="1"/>
  <c r="X113" i="1"/>
  <c r="W113" i="1"/>
  <c r="X251" i="1"/>
  <c r="W238" i="3" s="1"/>
  <c r="W251" i="1"/>
  <c r="X51" i="1"/>
  <c r="W51" i="1"/>
  <c r="W262" i="1"/>
  <c r="X262" i="1"/>
  <c r="W79" i="1"/>
  <c r="X79" i="1"/>
  <c r="X261" i="1"/>
  <c r="W261" i="1"/>
  <c r="W78" i="1"/>
  <c r="X78" i="1"/>
  <c r="W75" i="3" s="1"/>
  <c r="W275" i="1"/>
  <c r="X275" i="1"/>
  <c r="W88" i="1"/>
  <c r="V85" i="3" s="1"/>
  <c r="X88" i="1"/>
  <c r="X274" i="1"/>
  <c r="W274" i="1"/>
  <c r="X87" i="1"/>
  <c r="W87" i="1"/>
  <c r="X273" i="1"/>
  <c r="W273" i="1"/>
  <c r="X86" i="1"/>
  <c r="W86" i="1"/>
  <c r="X280" i="1"/>
  <c r="W280" i="1"/>
  <c r="X93" i="1"/>
  <c r="W93" i="1"/>
  <c r="W304" i="1"/>
  <c r="X304" i="1"/>
  <c r="X103" i="1"/>
  <c r="W100" i="3" s="1"/>
  <c r="W103" i="1"/>
  <c r="V100" i="3" s="1"/>
  <c r="X322" i="1"/>
  <c r="W322" i="1"/>
  <c r="X181" i="1"/>
  <c r="W181" i="1"/>
  <c r="X14" i="1"/>
  <c r="W14" i="3" s="1"/>
  <c r="W14" i="1"/>
  <c r="V14" i="3" s="1"/>
  <c r="W249" i="1"/>
  <c r="X249" i="1"/>
  <c r="W27" i="1"/>
  <c r="V24" i="3" s="1"/>
  <c r="X27" i="1"/>
  <c r="W24" i="3" s="1"/>
  <c r="W214" i="1"/>
  <c r="X214" i="1"/>
  <c r="W26" i="1"/>
  <c r="X26" i="1"/>
  <c r="W255" i="1"/>
  <c r="X255" i="1"/>
  <c r="W71" i="1"/>
  <c r="X71" i="1"/>
  <c r="X254" i="1"/>
  <c r="W254" i="1"/>
  <c r="X70" i="1"/>
  <c r="W67" i="3" s="1"/>
  <c r="W70" i="1"/>
  <c r="W253" i="1"/>
  <c r="X253" i="1"/>
  <c r="W69" i="1"/>
  <c r="V66" i="3" s="1"/>
  <c r="X69" i="1"/>
  <c r="X266" i="1"/>
  <c r="W266" i="1"/>
  <c r="X82" i="1"/>
  <c r="W82" i="1"/>
  <c r="W310" i="1"/>
  <c r="X310" i="1"/>
  <c r="X305" i="1"/>
  <c r="W305" i="1"/>
  <c r="X153" i="1"/>
  <c r="W153" i="1"/>
  <c r="V150" i="3" s="1"/>
  <c r="X3" i="1"/>
  <c r="W3" i="1"/>
  <c r="W163" i="1"/>
  <c r="X163" i="1"/>
  <c r="W12" i="1"/>
  <c r="V12" i="3" s="1"/>
  <c r="X12" i="1"/>
  <c r="W12" i="3" s="1"/>
  <c r="W162" i="1"/>
  <c r="X162" i="1"/>
  <c r="W11" i="1"/>
  <c r="V11" i="3" s="1"/>
  <c r="X11" i="1"/>
  <c r="W11" i="3" s="1"/>
  <c r="W213" i="1"/>
  <c r="X213" i="1"/>
  <c r="W18" i="1"/>
  <c r="V18" i="3" s="1"/>
  <c r="X18" i="1"/>
  <c r="W18" i="3" s="1"/>
  <c r="X212" i="1"/>
  <c r="W212" i="1"/>
  <c r="X17" i="1"/>
  <c r="W17" i="1"/>
  <c r="W183" i="1"/>
  <c r="X183" i="1"/>
  <c r="W16" i="1"/>
  <c r="V16" i="3" s="1"/>
  <c r="X16" i="1"/>
  <c r="W16" i="3" s="1"/>
  <c r="X252" i="1"/>
  <c r="W252" i="1"/>
  <c r="X52" i="1"/>
  <c r="W52" i="1"/>
  <c r="X92" i="1"/>
  <c r="W92" i="1"/>
  <c r="W104" i="1"/>
  <c r="X104" i="1"/>
  <c r="X120" i="1"/>
  <c r="W120" i="1"/>
  <c r="X278" i="1"/>
  <c r="W278" i="1"/>
  <c r="W151" i="1"/>
  <c r="X151" i="1"/>
  <c r="X250" i="1"/>
  <c r="W250" i="1"/>
  <c r="W138" i="1"/>
  <c r="X138" i="1"/>
  <c r="X320" i="1"/>
  <c r="W320" i="1"/>
  <c r="W161" i="1"/>
  <c r="V157" i="3" s="1"/>
  <c r="X161" i="1"/>
  <c r="W157" i="3" s="1"/>
  <c r="W10" i="1"/>
  <c r="V10" i="3" s="1"/>
  <c r="X10" i="1"/>
  <c r="W10" i="3" s="1"/>
  <c r="X160" i="1"/>
  <c r="W156" i="3" s="1"/>
  <c r="W160" i="1"/>
  <c r="X9" i="1"/>
  <c r="W9" i="3" s="1"/>
  <c r="W9" i="1"/>
  <c r="W155" i="1"/>
  <c r="X155" i="1"/>
  <c r="X8" i="1"/>
  <c r="W8" i="3" s="1"/>
  <c r="W8" i="1"/>
  <c r="V8" i="3" s="1"/>
  <c r="X182" i="1"/>
  <c r="W182" i="1"/>
  <c r="X15" i="1"/>
  <c r="W15" i="3" s="1"/>
  <c r="W15" i="1"/>
  <c r="V15" i="3" s="1"/>
  <c r="W284" i="1"/>
  <c r="X284" i="1"/>
  <c r="X107" i="1"/>
  <c r="W107" i="1"/>
  <c r="X321" i="1"/>
  <c r="W321" i="1"/>
  <c r="X108" i="1"/>
  <c r="W108" i="1"/>
  <c r="X99" i="1"/>
  <c r="W99" i="1"/>
  <c r="W118" i="1"/>
  <c r="X118" i="1"/>
  <c r="X91" i="1"/>
  <c r="W91" i="1"/>
  <c r="W117" i="1"/>
  <c r="X117" i="1"/>
  <c r="X119" i="1"/>
  <c r="W119" i="1"/>
  <c r="W134" i="1"/>
  <c r="X134" i="1"/>
  <c r="X164" i="1"/>
  <c r="W164" i="1"/>
  <c r="X133" i="1"/>
  <c r="W133" i="1"/>
  <c r="X152" i="1"/>
  <c r="W152" i="1"/>
  <c r="X132" i="1"/>
  <c r="W132" i="1"/>
  <c r="X263" i="1"/>
  <c r="W263" i="1"/>
  <c r="X154" i="1"/>
  <c r="W154" i="1"/>
  <c r="X7" i="1"/>
  <c r="W7" i="3" s="1"/>
  <c r="W7" i="1"/>
  <c r="W167" i="3" l="1"/>
  <c r="W112" i="3"/>
  <c r="X169" i="3"/>
  <c r="X177" i="3"/>
  <c r="V203" i="3"/>
  <c r="X178" i="3"/>
  <c r="V230" i="3"/>
  <c r="V231" i="3"/>
  <c r="V282" i="3"/>
  <c r="W229" i="3"/>
  <c r="V274" i="3"/>
  <c r="X299" i="3"/>
  <c r="V232" i="3"/>
  <c r="V233" i="3"/>
  <c r="V234" i="3"/>
  <c r="V260" i="3"/>
  <c r="X262" i="3"/>
  <c r="X291" i="3"/>
  <c r="X239" i="3"/>
  <c r="X240" i="3"/>
  <c r="X294" i="3"/>
  <c r="X241" i="3"/>
  <c r="X253" i="3"/>
  <c r="X269" i="3"/>
  <c r="X250" i="3"/>
  <c r="X293" i="3"/>
  <c r="X267" i="3"/>
  <c r="X295" i="3"/>
  <c r="V246" i="3"/>
  <c r="X249" i="3"/>
  <c r="X268" i="3"/>
  <c r="V287" i="3"/>
  <c r="X296" i="3"/>
  <c r="W66" i="3"/>
  <c r="W191" i="3"/>
  <c r="V176" i="3"/>
  <c r="X36" i="3"/>
  <c r="W48" i="3"/>
  <c r="W77" i="3"/>
  <c r="V110" i="3"/>
  <c r="X163" i="3"/>
  <c r="V291" i="3"/>
  <c r="X134" i="3"/>
  <c r="V224" i="3"/>
  <c r="V250" i="3"/>
  <c r="V83" i="3"/>
  <c r="V236" i="3"/>
  <c r="W204" i="3"/>
  <c r="X244" i="3"/>
  <c r="V217" i="3"/>
  <c r="X138" i="3"/>
  <c r="X154" i="3"/>
  <c r="V235" i="3"/>
  <c r="V74" i="3"/>
  <c r="X153" i="3"/>
  <c r="V123" i="3"/>
  <c r="V207" i="3"/>
  <c r="V49" i="3"/>
  <c r="X235" i="3"/>
  <c r="X182" i="3"/>
  <c r="V39" i="3"/>
  <c r="X107" i="3"/>
  <c r="V142" i="3"/>
  <c r="V23" i="3"/>
  <c r="W125" i="3"/>
  <c r="X183" i="3"/>
  <c r="X287" i="3"/>
  <c r="V248" i="3"/>
  <c r="X127" i="3"/>
  <c r="W158" i="3"/>
  <c r="W85" i="3"/>
  <c r="V112" i="3"/>
  <c r="W143" i="3"/>
  <c r="W221" i="3"/>
  <c r="W68" i="3"/>
  <c r="X162" i="3"/>
  <c r="W37" i="3"/>
  <c r="X243" i="3"/>
  <c r="W33" i="3"/>
  <c r="X273" i="3"/>
  <c r="V28" i="3"/>
  <c r="V183" i="3"/>
  <c r="V129" i="3"/>
  <c r="X206" i="3"/>
  <c r="V188" i="3"/>
  <c r="W192" i="3"/>
  <c r="W116" i="3"/>
  <c r="X286" i="3"/>
  <c r="W58" i="3"/>
  <c r="X221" i="3"/>
  <c r="W23" i="3"/>
  <c r="W291" i="3"/>
  <c r="V77" i="3"/>
  <c r="V47" i="3"/>
  <c r="W220" i="3"/>
  <c r="V114" i="3"/>
  <c r="V60" i="3"/>
  <c r="V35" i="3"/>
  <c r="W19" i="3"/>
  <c r="V219" i="3"/>
  <c r="W147" i="3"/>
  <c r="X105" i="3"/>
  <c r="W32" i="3"/>
  <c r="X132" i="3"/>
  <c r="X114" i="3"/>
  <c r="W20" i="3"/>
  <c r="W44" i="3"/>
  <c r="V73" i="3"/>
  <c r="X245" i="3"/>
  <c r="V148" i="3"/>
  <c r="V209" i="3"/>
  <c r="X155" i="3"/>
  <c r="W170" i="3"/>
  <c r="V20" i="3"/>
  <c r="W166" i="3"/>
  <c r="W126" i="3"/>
  <c r="X151" i="3"/>
  <c r="X117" i="3"/>
  <c r="W49" i="3"/>
  <c r="W293" i="3"/>
  <c r="V178" i="3"/>
  <c r="X26" i="3"/>
  <c r="V285" i="3"/>
  <c r="V208" i="3"/>
  <c r="W210" i="3"/>
  <c r="V177" i="3"/>
  <c r="V90" i="3"/>
  <c r="V84" i="3"/>
  <c r="V111" i="3"/>
  <c r="V125" i="3"/>
  <c r="W183" i="3"/>
  <c r="W287" i="3"/>
  <c r="W231" i="3"/>
  <c r="W40" i="3"/>
  <c r="W288" i="3"/>
  <c r="V45" i="3"/>
  <c r="W250" i="3"/>
  <c r="V135" i="3"/>
  <c r="V158" i="3"/>
  <c r="W150" i="3"/>
  <c r="W241" i="3"/>
  <c r="W296" i="3"/>
  <c r="V191" i="3"/>
  <c r="W206" i="3"/>
  <c r="W232" i="3"/>
  <c r="V275" i="3"/>
  <c r="V167" i="3"/>
  <c r="X160" i="3"/>
  <c r="W101" i="3"/>
  <c r="V292" i="3"/>
  <c r="X176" i="3"/>
  <c r="V127" i="3"/>
  <c r="X277" i="3"/>
  <c r="W188" i="3"/>
  <c r="X161" i="3"/>
  <c r="X121" i="3"/>
  <c r="X119" i="3"/>
  <c r="V144" i="3"/>
  <c r="W261" i="3"/>
  <c r="X192" i="3"/>
  <c r="V96" i="3"/>
  <c r="V89" i="3"/>
  <c r="W179" i="3"/>
  <c r="W236" i="3"/>
  <c r="V136" i="3"/>
  <c r="V59" i="3"/>
  <c r="X82" i="3"/>
  <c r="X211" i="3"/>
  <c r="V173" i="3"/>
  <c r="X3" i="3"/>
  <c r="W83" i="3"/>
  <c r="V76" i="3"/>
  <c r="W60" i="3"/>
  <c r="X19" i="3"/>
  <c r="X278" i="3"/>
  <c r="W109" i="3"/>
  <c r="W129" i="3"/>
  <c r="V265" i="3"/>
  <c r="X205" i="3"/>
  <c r="V187" i="3"/>
  <c r="W122" i="3"/>
  <c r="X37" i="3"/>
  <c r="V38" i="3"/>
  <c r="V130" i="3"/>
  <c r="W178" i="3"/>
  <c r="W90" i="3"/>
  <c r="W84" i="3"/>
  <c r="V75" i="3"/>
  <c r="W111" i="3"/>
  <c r="X188" i="3"/>
  <c r="X258" i="3"/>
  <c r="W197" i="3"/>
  <c r="V199" i="3"/>
  <c r="X21" i="3"/>
  <c r="X231" i="3"/>
  <c r="V40" i="3"/>
  <c r="X33" i="3"/>
  <c r="X118" i="3"/>
  <c r="X172" i="3"/>
  <c r="W96" i="3"/>
  <c r="W110" i="3"/>
  <c r="X38" i="3"/>
  <c r="W47" i="3"/>
  <c r="V190" i="3"/>
  <c r="V156" i="3"/>
  <c r="V296" i="3"/>
  <c r="X204" i="3"/>
  <c r="V57" i="3"/>
  <c r="W269" i="3"/>
  <c r="W199" i="3"/>
  <c r="X233" i="3"/>
  <c r="W280" i="3"/>
  <c r="X189" i="3"/>
  <c r="W95" i="3"/>
  <c r="W149" i="3"/>
  <c r="W205" i="3"/>
  <c r="V115" i="3"/>
  <c r="V68" i="3"/>
  <c r="X254" i="3"/>
  <c r="X222" i="3"/>
  <c r="V21" i="3"/>
  <c r="X274" i="3"/>
  <c r="V179" i="3"/>
  <c r="V105" i="3"/>
  <c r="V293" i="3"/>
  <c r="W260" i="3"/>
  <c r="X91" i="3"/>
  <c r="W189" i="3"/>
  <c r="V225" i="3"/>
  <c r="X190" i="3"/>
  <c r="W160" i="3"/>
  <c r="W239" i="3"/>
  <c r="V210" i="3"/>
  <c r="X120" i="3"/>
  <c r="X213" i="3"/>
  <c r="X108" i="3"/>
  <c r="W88" i="3"/>
  <c r="W131" i="3"/>
  <c r="V238" i="3"/>
  <c r="W281" i="3"/>
  <c r="X136" i="3"/>
  <c r="W21" i="3"/>
  <c r="X212" i="3"/>
  <c r="W135" i="3"/>
  <c r="X191" i="3"/>
  <c r="V61" i="3"/>
  <c r="X256" i="3"/>
  <c r="X272" i="3"/>
  <c r="V37" i="3"/>
  <c r="W36" i="3"/>
  <c r="X106" i="3"/>
  <c r="X96" i="3"/>
  <c r="W184" i="3"/>
  <c r="W277" i="3"/>
  <c r="W59" i="3"/>
  <c r="V184" i="3"/>
  <c r="X215" i="3"/>
  <c r="W271" i="3"/>
  <c r="W209" i="3"/>
  <c r="X187" i="3"/>
  <c r="X251" i="3"/>
  <c r="X133" i="3"/>
  <c r="W215" i="3"/>
  <c r="X116" i="3"/>
  <c r="W89" i="3"/>
  <c r="W102" i="3"/>
  <c r="V192" i="3"/>
  <c r="W187" i="3"/>
  <c r="V254" i="3"/>
  <c r="W216" i="3"/>
  <c r="X122" i="3"/>
  <c r="V237" i="3"/>
  <c r="V116" i="3"/>
  <c r="W114" i="3"/>
  <c r="V67" i="3"/>
  <c r="W262" i="3"/>
  <c r="W286" i="3"/>
  <c r="X255" i="3"/>
  <c r="X216" i="3"/>
  <c r="X102" i="3"/>
  <c r="X104" i="3"/>
  <c r="W130" i="3"/>
  <c r="X142" i="3"/>
  <c r="X220" i="3"/>
  <c r="X97" i="3"/>
  <c r="V95" i="3"/>
  <c r="W104" i="3"/>
  <c r="V101" i="3"/>
  <c r="X113" i="3"/>
  <c r="X230" i="3"/>
  <c r="X35" i="3"/>
  <c r="W35" i="3"/>
  <c r="X99" i="3"/>
  <c r="V241" i="3"/>
  <c r="X280" i="3"/>
  <c r="V43" i="3"/>
  <c r="V270" i="3"/>
  <c r="V264" i="3"/>
  <c r="X171" i="3"/>
  <c r="V240" i="3"/>
  <c r="W294" i="3"/>
  <c r="W252" i="3"/>
  <c r="X65" i="3"/>
  <c r="X257" i="3"/>
  <c r="W198" i="3"/>
  <c r="X229" i="3"/>
  <c r="W124" i="3"/>
  <c r="W168" i="3"/>
  <c r="V54" i="3"/>
  <c r="X124" i="3"/>
  <c r="W151" i="3"/>
  <c r="W79" i="3"/>
  <c r="X64" i="3"/>
  <c r="X196" i="3"/>
  <c r="W55" i="3"/>
  <c r="X164" i="3"/>
  <c r="V159" i="3"/>
  <c r="W118" i="3"/>
  <c r="W97" i="3"/>
  <c r="V128" i="3"/>
  <c r="W182" i="3"/>
  <c r="X194" i="3"/>
  <c r="W73" i="3"/>
  <c r="V186" i="3"/>
  <c r="W245" i="3"/>
  <c r="V52" i="3"/>
  <c r="W54" i="3"/>
  <c r="V154" i="3"/>
  <c r="V82" i="3"/>
  <c r="W133" i="3"/>
  <c r="W273" i="3"/>
  <c r="W246" i="3"/>
  <c r="V202" i="3"/>
  <c r="W289" i="3"/>
  <c r="W211" i="3"/>
  <c r="W145" i="3"/>
  <c r="W299" i="3"/>
  <c r="W174" i="3"/>
  <c r="X141" i="3"/>
  <c r="V281" i="3"/>
  <c r="X101" i="3"/>
  <c r="X94" i="3"/>
  <c r="X95" i="3"/>
  <c r="X89" i="3"/>
  <c r="X103" i="3"/>
  <c r="X159" i="3"/>
  <c r="V152" i="3"/>
  <c r="X261" i="3"/>
  <c r="X265" i="3"/>
  <c r="V251" i="3"/>
  <c r="V22" i="3"/>
  <c r="V133" i="3"/>
  <c r="X238" i="3"/>
  <c r="X242" i="3"/>
  <c r="X270" i="3"/>
  <c r="X263" i="3"/>
  <c r="X264" i="3"/>
  <c r="X252" i="3"/>
  <c r="X298" i="3"/>
  <c r="W172" i="3"/>
  <c r="V220" i="3"/>
  <c r="X297" i="3"/>
  <c r="X271" i="3"/>
  <c r="X266" i="3"/>
  <c r="V267" i="3"/>
  <c r="V80" i="3"/>
  <c r="W267" i="3"/>
  <c r="W266" i="3"/>
  <c r="W207" i="3"/>
  <c r="V62" i="3"/>
  <c r="V63" i="3"/>
  <c r="V171" i="3"/>
  <c r="W42" i="3"/>
  <c r="X292" i="3"/>
  <c r="V206" i="3"/>
  <c r="V164" i="3"/>
  <c r="X109" i="3"/>
  <c r="V64" i="3"/>
  <c r="X93" i="3"/>
  <c r="X86" i="3"/>
  <c r="X87" i="3"/>
  <c r="X78" i="3"/>
  <c r="V131" i="3"/>
  <c r="V149" i="3"/>
  <c r="W152" i="3"/>
  <c r="W148" i="3"/>
  <c r="W159" i="3"/>
  <c r="W297" i="3"/>
  <c r="W242" i="3"/>
  <c r="W76" i="3"/>
  <c r="V294" i="3"/>
  <c r="W263" i="3"/>
  <c r="V252" i="3"/>
  <c r="V118" i="3"/>
  <c r="V102" i="3"/>
  <c r="V97" i="3"/>
  <c r="W128" i="3"/>
  <c r="W62" i="3"/>
  <c r="V65" i="3"/>
  <c r="W254" i="3"/>
  <c r="W257" i="3"/>
  <c r="V193" i="3"/>
  <c r="X195" i="3"/>
  <c r="X198" i="3"/>
  <c r="W186" i="3"/>
  <c r="W52" i="3"/>
  <c r="X234" i="3"/>
  <c r="W154" i="3"/>
  <c r="W162" i="3"/>
  <c r="V27" i="3"/>
  <c r="W165" i="3"/>
  <c r="W278" i="3"/>
  <c r="X41" i="3"/>
  <c r="V138" i="3"/>
  <c r="W202" i="3"/>
  <c r="W146" i="3"/>
  <c r="X145" i="3"/>
  <c r="V300" i="3"/>
  <c r="V299" i="3"/>
  <c r="X285" i="3"/>
  <c r="X46" i="3"/>
  <c r="X237" i="3"/>
  <c r="X158" i="3"/>
  <c r="V70" i="3"/>
  <c r="V221" i="3"/>
  <c r="V216" i="3"/>
  <c r="X275" i="3"/>
  <c r="V151" i="3"/>
  <c r="V79" i="3"/>
  <c r="W249" i="3"/>
  <c r="W91" i="3"/>
  <c r="W93" i="3"/>
  <c r="W87" i="3"/>
  <c r="V99" i="3"/>
  <c r="W298" i="3"/>
  <c r="W190" i="3"/>
  <c r="X125" i="3"/>
  <c r="W69" i="3"/>
  <c r="V182" i="3"/>
  <c r="W50" i="3"/>
  <c r="W65" i="3"/>
  <c r="V257" i="3"/>
  <c r="W194" i="3"/>
  <c r="W196" i="3"/>
  <c r="V198" i="3"/>
  <c r="X74" i="3"/>
  <c r="X185" i="3"/>
  <c r="V245" i="3"/>
  <c r="W53" i="3"/>
  <c r="W224" i="3"/>
  <c r="W155" i="3"/>
  <c r="X225" i="3"/>
  <c r="X228" i="3"/>
  <c r="X137" i="3"/>
  <c r="W82" i="3"/>
  <c r="V273" i="3"/>
  <c r="V162" i="3"/>
  <c r="W28" i="3"/>
  <c r="X279" i="3"/>
  <c r="V168" i="3"/>
  <c r="W169" i="3"/>
  <c r="W140" i="3"/>
  <c r="X147" i="3"/>
  <c r="W218" i="3"/>
  <c r="X284" i="3"/>
  <c r="W141" i="3"/>
  <c r="V71" i="3"/>
  <c r="V145" i="3"/>
  <c r="X24" i="3"/>
  <c r="X85" i="3"/>
  <c r="V46" i="3"/>
  <c r="V205" i="3"/>
  <c r="V222" i="3"/>
  <c r="X224" i="3"/>
  <c r="W105" i="3"/>
  <c r="W295" i="3"/>
  <c r="V91" i="3"/>
  <c r="V93" i="3"/>
  <c r="V87" i="3"/>
  <c r="W99" i="3"/>
  <c r="V298" i="3"/>
  <c r="V69" i="3"/>
  <c r="V50" i="3"/>
  <c r="W61" i="3"/>
  <c r="W64" i="3"/>
  <c r="W255" i="3"/>
  <c r="W258" i="3"/>
  <c r="V194" i="3"/>
  <c r="V196" i="3"/>
  <c r="X199" i="3"/>
  <c r="W74" i="3"/>
  <c r="W185" i="3"/>
  <c r="V53" i="3"/>
  <c r="W57" i="3"/>
  <c r="W233" i="3"/>
  <c r="V155" i="3"/>
  <c r="W225" i="3"/>
  <c r="W228" i="3"/>
  <c r="W137" i="3"/>
  <c r="W275" i="3"/>
  <c r="V272" i="3"/>
  <c r="W164" i="3"/>
  <c r="V166" i="3"/>
  <c r="W279" i="3"/>
  <c r="W43" i="3"/>
  <c r="V140" i="3"/>
  <c r="W180" i="3"/>
  <c r="W203" i="3"/>
  <c r="V289" i="3"/>
  <c r="W214" i="3"/>
  <c r="X31" i="3"/>
  <c r="V174" i="3"/>
  <c r="W284" i="3"/>
  <c r="V141" i="3"/>
  <c r="X150" i="3"/>
  <c r="X49" i="3"/>
  <c r="V181" i="3"/>
  <c r="X236" i="3"/>
  <c r="W144" i="3"/>
  <c r="V139" i="3"/>
  <c r="W163" i="3"/>
  <c r="X110" i="3"/>
  <c r="V160" i="3"/>
  <c r="V117" i="3"/>
  <c r="V239" i="3"/>
  <c r="V268" i="3"/>
  <c r="W270" i="3"/>
  <c r="W264" i="3"/>
  <c r="W113" i="3"/>
  <c r="W103" i="3"/>
  <c r="W94" i="3"/>
  <c r="W71" i="3"/>
  <c r="W134" i="3"/>
  <c r="V255" i="3"/>
  <c r="V258" i="3"/>
  <c r="X197" i="3"/>
  <c r="W72" i="3"/>
  <c r="V185" i="3"/>
  <c r="W244" i="3"/>
  <c r="W26" i="3"/>
  <c r="W120" i="3"/>
  <c r="W139" i="3"/>
  <c r="V180" i="3"/>
  <c r="V147" i="3"/>
  <c r="W31" i="3"/>
  <c r="X30" i="3"/>
  <c r="X283" i="3"/>
  <c r="X218" i="3"/>
  <c r="W217" i="3"/>
  <c r="V44" i="3"/>
  <c r="V170" i="3"/>
  <c r="X111" i="3"/>
  <c r="V120" i="3"/>
  <c r="V212" i="3"/>
  <c r="W34" i="3"/>
  <c r="X129" i="3"/>
  <c r="V195" i="3"/>
  <c r="W117" i="3"/>
  <c r="W208" i="3"/>
  <c r="W253" i="3"/>
  <c r="W177" i="3"/>
  <c r="W268" i="3"/>
  <c r="V113" i="3"/>
  <c r="V103" i="3"/>
  <c r="V94" i="3"/>
  <c r="W127" i="3"/>
  <c r="V134" i="3"/>
  <c r="V189" i="3"/>
  <c r="W256" i="3"/>
  <c r="X259" i="3"/>
  <c r="W200" i="3"/>
  <c r="X72" i="3"/>
  <c r="X22" i="3"/>
  <c r="V244" i="3"/>
  <c r="W51" i="3"/>
  <c r="V55" i="3"/>
  <c r="W153" i="3"/>
  <c r="V227" i="3"/>
  <c r="W132" i="3"/>
  <c r="W272" i="3"/>
  <c r="X123" i="3"/>
  <c r="V29" i="3"/>
  <c r="X139" i="3"/>
  <c r="V201" i="3"/>
  <c r="W181" i="3"/>
  <c r="W212" i="3"/>
  <c r="V31" i="3"/>
  <c r="W283" i="3"/>
  <c r="X217" i="3"/>
  <c r="X44" i="3"/>
  <c r="W45" i="3"/>
  <c r="X156" i="3"/>
  <c r="X179" i="3"/>
  <c r="X67" i="3"/>
  <c r="X77" i="3"/>
  <c r="X248" i="3"/>
  <c r="X47" i="3"/>
  <c r="V58" i="3"/>
  <c r="V247" i="3"/>
  <c r="W173" i="3"/>
  <c r="V88" i="3"/>
  <c r="W115" i="3"/>
  <c r="V104" i="3"/>
  <c r="V98" i="3"/>
  <c r="V92" i="3"/>
  <c r="W86" i="3"/>
  <c r="V78" i="3"/>
  <c r="X207" i="3"/>
  <c r="V280" i="3"/>
  <c r="X144" i="3"/>
  <c r="W63" i="3"/>
  <c r="W259" i="3"/>
  <c r="X193" i="3"/>
  <c r="V197" i="3"/>
  <c r="V200" i="3"/>
  <c r="W222" i="3"/>
  <c r="V72" i="3"/>
  <c r="W22" i="3"/>
  <c r="V51" i="3"/>
  <c r="W56" i="3"/>
  <c r="X223" i="3"/>
  <c r="X232" i="3"/>
  <c r="V153" i="3"/>
  <c r="W226" i="3"/>
  <c r="X227" i="3"/>
  <c r="W25" i="3"/>
  <c r="W274" i="3"/>
  <c r="V165" i="3"/>
  <c r="W171" i="3"/>
  <c r="W39" i="3"/>
  <c r="W213" i="3"/>
  <c r="W108" i="3"/>
  <c r="X32" i="3"/>
  <c r="W107" i="3"/>
  <c r="V283" i="3"/>
  <c r="W175" i="3"/>
  <c r="X157" i="3"/>
  <c r="W201" i="3"/>
  <c r="X208" i="3"/>
  <c r="V119" i="3"/>
  <c r="V214" i="3"/>
  <c r="V42" i="3"/>
  <c r="V278" i="3"/>
  <c r="X130" i="3"/>
  <c r="W219" i="3"/>
  <c r="W292" i="3"/>
  <c r="W248" i="3"/>
  <c r="W98" i="3"/>
  <c r="W92" i="3"/>
  <c r="V86" i="3"/>
  <c r="W78" i="3"/>
  <c r="W176" i="3"/>
  <c r="W70" i="3"/>
  <c r="X281" i="3"/>
  <c r="W136" i="3"/>
  <c r="W193" i="3"/>
  <c r="W195" i="3"/>
  <c r="X186" i="3"/>
  <c r="W243" i="3"/>
  <c r="V56" i="3"/>
  <c r="W223" i="3"/>
  <c r="W234" i="3"/>
  <c r="W227" i="3"/>
  <c r="V132" i="3"/>
  <c r="X25" i="3"/>
  <c r="W121" i="3"/>
  <c r="W27" i="3"/>
  <c r="W282" i="3"/>
  <c r="X39" i="3"/>
  <c r="W138" i="3"/>
  <c r="W247" i="3"/>
  <c r="W290" i="3"/>
  <c r="X146" i="3"/>
  <c r="V108" i="3"/>
  <c r="W300" i="3"/>
  <c r="X34" i="3"/>
  <c r="X173" i="3"/>
  <c r="V175" i="3"/>
  <c r="W285" i="3"/>
  <c r="W46" i="3"/>
  <c r="W119" i="3"/>
  <c r="V276" i="3"/>
  <c r="X135" i="3"/>
  <c r="X209" i="3"/>
  <c r="V143" i="3"/>
  <c r="X68" i="3"/>
  <c r="V107" i="3"/>
  <c r="X260" i="3"/>
  <c r="V288" i="3"/>
  <c r="V204" i="3"/>
  <c r="W41" i="3"/>
  <c r="V161" i="3"/>
  <c r="W123" i="3"/>
  <c r="V261" i="3"/>
  <c r="V266" i="3"/>
  <c r="V2" i="3"/>
  <c r="U2" i="3" s="1"/>
  <c r="X59" i="3"/>
  <c r="X62" i="3"/>
  <c r="V256" i="3"/>
  <c r="W81" i="3"/>
  <c r="V215" i="3"/>
  <c r="X27" i="3"/>
  <c r="X282" i="3"/>
  <c r="V172" i="3"/>
  <c r="X42" i="3"/>
  <c r="X247" i="3"/>
  <c r="X201" i="3"/>
  <c r="X290" i="3"/>
  <c r="X300" i="3"/>
  <c r="X4" i="3"/>
  <c r="X63" i="3"/>
  <c r="W237" i="3"/>
  <c r="Z2" i="3"/>
  <c r="W2" i="3"/>
  <c r="V259" i="3"/>
  <c r="X200" i="3"/>
  <c r="X52" i="3"/>
  <c r="W235" i="3"/>
  <c r="V226" i="3"/>
  <c r="V81" i="3"/>
  <c r="V163" i="3"/>
  <c r="X165" i="3"/>
  <c r="X170" i="3"/>
  <c r="X202" i="3"/>
  <c r="V213" i="3"/>
  <c r="V33" i="3"/>
  <c r="X56" i="3"/>
  <c r="X288" i="3"/>
  <c r="V34" i="3"/>
  <c r="V7" i="3"/>
  <c r="W240" i="3"/>
  <c r="V269" i="3"/>
  <c r="X70" i="3"/>
  <c r="V277" i="3"/>
  <c r="X73" i="3"/>
  <c r="V243" i="3"/>
  <c r="X54" i="3"/>
  <c r="V223" i="3"/>
  <c r="V229" i="3"/>
  <c r="V121" i="3"/>
  <c r="X168" i="3"/>
  <c r="V169" i="3"/>
  <c r="X246" i="3"/>
  <c r="V290" i="3"/>
  <c r="X6" i="3"/>
  <c r="X219" i="3"/>
  <c r="X71" i="3"/>
  <c r="X175" i="3"/>
  <c r="V297" i="3"/>
  <c r="V242" i="3"/>
  <c r="V263" i="3"/>
  <c r="X50" i="3"/>
  <c r="X53" i="3"/>
  <c r="W230" i="3"/>
  <c r="W251" i="3"/>
  <c r="X28" i="3"/>
  <c r="X166" i="3"/>
  <c r="V41" i="3"/>
  <c r="X140" i="3"/>
  <c r="V146" i="3"/>
  <c r="V284" i="3"/>
  <c r="X81" i="3"/>
  <c r="X43" i="3"/>
  <c r="V9" i="3"/>
  <c r="V17" i="3"/>
  <c r="V3" i="3"/>
  <c r="V295" i="3"/>
  <c r="X128" i="3"/>
  <c r="X58" i="3"/>
  <c r="X60" i="3"/>
  <c r="X57" i="3"/>
  <c r="W276" i="3"/>
  <c r="X180" i="3"/>
  <c r="X181" i="3"/>
  <c r="X289" i="3"/>
  <c r="V211" i="3"/>
  <c r="V109" i="3"/>
  <c r="V30" i="3"/>
  <c r="X5" i="3"/>
  <c r="X174" i="3"/>
  <c r="X184" i="3"/>
  <c r="W161" i="3"/>
  <c r="W265" i="3"/>
  <c r="W17" i="3"/>
  <c r="W3" i="3"/>
  <c r="V262" i="3"/>
  <c r="V249" i="3"/>
  <c r="V286" i="3"/>
  <c r="X20" i="3"/>
  <c r="X55" i="3"/>
  <c r="W80" i="3"/>
  <c r="V122" i="3"/>
  <c r="V124" i="3"/>
  <c r="X40" i="3"/>
  <c r="W106" i="3"/>
  <c r="V218" i="3"/>
  <c r="X61" i="3"/>
  <c r="X226" i="3"/>
  <c r="V26" i="3"/>
  <c r="V271" i="3"/>
  <c r="V253" i="3"/>
  <c r="V48" i="3"/>
  <c r="X51" i="3"/>
  <c r="V228" i="3"/>
  <c r="V137" i="3"/>
  <c r="X80" i="3"/>
  <c r="X276" i="3"/>
  <c r="X29" i="3"/>
  <c r="X167" i="3"/>
  <c r="V279" i="3"/>
  <c r="X203" i="3"/>
  <c r="X214" i="3"/>
  <c r="Z3" i="3" l="1"/>
  <c r="Z4" i="3" s="1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Z105" i="3" s="1"/>
  <c r="Z106" i="3" s="1"/>
  <c r="Z107" i="3" s="1"/>
  <c r="Z108" i="3" s="1"/>
  <c r="Z109" i="3" s="1"/>
  <c r="Z110" i="3" s="1"/>
  <c r="Z111" i="3" s="1"/>
  <c r="Z112" i="3" s="1"/>
  <c r="Z113" i="3" s="1"/>
  <c r="Z114" i="3" s="1"/>
  <c r="Z115" i="3" s="1"/>
  <c r="Z116" i="3" s="1"/>
  <c r="Z117" i="3" s="1"/>
  <c r="Z118" i="3" s="1"/>
  <c r="Z119" i="3" s="1"/>
  <c r="Z120" i="3" s="1"/>
  <c r="Z121" i="3" s="1"/>
  <c r="Z122" i="3" s="1"/>
  <c r="Z123" i="3" s="1"/>
  <c r="Z124" i="3" s="1"/>
  <c r="Z125" i="3" s="1"/>
  <c r="Z126" i="3" s="1"/>
  <c r="Z127" i="3" s="1"/>
  <c r="Z128" i="3" s="1"/>
  <c r="Z129" i="3" s="1"/>
  <c r="Z130" i="3" s="1"/>
  <c r="Z131" i="3" s="1"/>
  <c r="Z132" i="3" s="1"/>
  <c r="Z133" i="3" s="1"/>
  <c r="Z134" i="3" s="1"/>
  <c r="Z135" i="3" s="1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Z177" i="3" s="1"/>
  <c r="Z178" i="3" s="1"/>
  <c r="Z179" i="3" s="1"/>
  <c r="Z180" i="3" s="1"/>
  <c r="Z181" i="3" s="1"/>
  <c r="Z182" i="3" s="1"/>
  <c r="Z183" i="3" s="1"/>
  <c r="Z184" i="3" s="1"/>
  <c r="Z185" i="3" s="1"/>
  <c r="Z186" i="3" s="1"/>
  <c r="Z187" i="3" s="1"/>
  <c r="Z188" i="3" s="1"/>
  <c r="Z189" i="3" s="1"/>
  <c r="Z190" i="3" s="1"/>
  <c r="Z191" i="3" s="1"/>
  <c r="Z192" i="3" s="1"/>
  <c r="Z193" i="3" s="1"/>
  <c r="Z194" i="3" s="1"/>
  <c r="Z195" i="3" s="1"/>
  <c r="Z196" i="3" s="1"/>
  <c r="Z197" i="3" s="1"/>
  <c r="Z198" i="3" s="1"/>
  <c r="Z199" i="3" s="1"/>
  <c r="Z200" i="3" s="1"/>
  <c r="Z201" i="3" s="1"/>
  <c r="Z202" i="3" s="1"/>
  <c r="Z203" i="3" s="1"/>
  <c r="Z204" i="3" s="1"/>
  <c r="Z205" i="3" s="1"/>
  <c r="Z206" i="3" s="1"/>
  <c r="Z207" i="3" s="1"/>
  <c r="Z208" i="3" s="1"/>
  <c r="Z209" i="3" s="1"/>
  <c r="Z210" i="3" s="1"/>
  <c r="Z211" i="3" s="1"/>
  <c r="Z212" i="3" s="1"/>
  <c r="Z213" i="3" s="1"/>
  <c r="Z214" i="3" s="1"/>
  <c r="Z215" i="3" s="1"/>
  <c r="Z216" i="3" s="1"/>
  <c r="Z217" i="3" s="1"/>
  <c r="Z218" i="3" s="1"/>
  <c r="Z219" i="3" s="1"/>
  <c r="Z220" i="3" s="1"/>
  <c r="Z221" i="3" s="1"/>
  <c r="Z222" i="3" s="1"/>
  <c r="Z223" i="3" s="1"/>
  <c r="Z224" i="3" s="1"/>
  <c r="Z225" i="3" s="1"/>
  <c r="Z226" i="3" s="1"/>
  <c r="Z227" i="3" s="1"/>
  <c r="Z228" i="3" s="1"/>
  <c r="Z229" i="3" s="1"/>
  <c r="Z230" i="3" s="1"/>
  <c r="Z231" i="3" s="1"/>
  <c r="Z232" i="3" s="1"/>
  <c r="Z233" i="3" s="1"/>
  <c r="Z234" i="3" s="1"/>
  <c r="Z235" i="3" s="1"/>
  <c r="Z236" i="3" s="1"/>
  <c r="Z237" i="3" s="1"/>
  <c r="Z238" i="3" s="1"/>
  <c r="Z239" i="3" s="1"/>
  <c r="Z240" i="3" s="1"/>
  <c r="Z241" i="3" s="1"/>
  <c r="Z242" i="3" s="1"/>
  <c r="Z243" i="3" s="1"/>
  <c r="Z244" i="3" s="1"/>
  <c r="Z245" i="3" s="1"/>
  <c r="Z246" i="3" s="1"/>
  <c r="Z247" i="3" s="1"/>
  <c r="Z248" i="3" s="1"/>
  <c r="Z249" i="3" s="1"/>
  <c r="Z250" i="3" s="1"/>
  <c r="Z251" i="3" s="1"/>
  <c r="Z252" i="3" s="1"/>
  <c r="Z253" i="3" s="1"/>
  <c r="Z254" i="3" s="1"/>
  <c r="Z255" i="3" s="1"/>
  <c r="Z256" i="3" s="1"/>
  <c r="Z257" i="3" s="1"/>
  <c r="Z258" i="3" s="1"/>
  <c r="Z259" i="3" s="1"/>
  <c r="Z260" i="3" s="1"/>
  <c r="Z261" i="3" s="1"/>
  <c r="Z262" i="3" s="1"/>
  <c r="Z263" i="3" s="1"/>
  <c r="Z264" i="3" s="1"/>
  <c r="Z265" i="3" s="1"/>
  <c r="Z266" i="3" s="1"/>
  <c r="Z267" i="3" s="1"/>
  <c r="Z268" i="3" s="1"/>
  <c r="Z269" i="3" s="1"/>
  <c r="Z270" i="3" s="1"/>
  <c r="Z271" i="3" s="1"/>
  <c r="Z272" i="3" s="1"/>
  <c r="Z273" i="3" s="1"/>
  <c r="Z274" i="3" s="1"/>
  <c r="Z275" i="3" s="1"/>
  <c r="Z276" i="3" s="1"/>
  <c r="Z277" i="3" s="1"/>
  <c r="Z278" i="3" s="1"/>
  <c r="Z279" i="3" s="1"/>
  <c r="Z280" i="3" s="1"/>
  <c r="Z281" i="3" s="1"/>
  <c r="Z282" i="3" s="1"/>
  <c r="Z283" i="3" s="1"/>
  <c r="Z284" i="3" s="1"/>
  <c r="Z285" i="3" s="1"/>
  <c r="Z286" i="3" s="1"/>
  <c r="Z287" i="3" s="1"/>
  <c r="Z288" i="3" s="1"/>
  <c r="Z289" i="3" s="1"/>
  <c r="Z290" i="3" s="1"/>
  <c r="Z291" i="3" s="1"/>
  <c r="Z292" i="3" s="1"/>
  <c r="Z293" i="3" s="1"/>
  <c r="Z294" i="3" s="1"/>
  <c r="Z295" i="3" s="1"/>
  <c r="Z296" i="3" s="1"/>
  <c r="Z297" i="3" s="1"/>
  <c r="Z298" i="3" s="1"/>
  <c r="Z299" i="3" s="1"/>
  <c r="Z300" i="3" s="1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U196" i="3" s="1"/>
  <c r="U197" i="3" s="1"/>
  <c r="U198" i="3" s="1"/>
  <c r="U199" i="3" s="1"/>
  <c r="U200" i="3" s="1"/>
  <c r="U201" i="3" s="1"/>
  <c r="U202" i="3" s="1"/>
  <c r="U203" i="3" s="1"/>
  <c r="U204" i="3" s="1"/>
  <c r="U205" i="3" s="1"/>
  <c r="U206" i="3" s="1"/>
  <c r="U207" i="3" s="1"/>
  <c r="U208" i="3" s="1"/>
  <c r="U209" i="3" s="1"/>
  <c r="U210" i="3" s="1"/>
  <c r="U211" i="3" s="1"/>
  <c r="U212" i="3" s="1"/>
  <c r="U213" i="3" s="1"/>
  <c r="U214" i="3" s="1"/>
  <c r="U215" i="3" s="1"/>
  <c r="U216" i="3" s="1"/>
  <c r="U217" i="3" s="1"/>
  <c r="U218" i="3" s="1"/>
  <c r="U219" i="3" s="1"/>
  <c r="U220" i="3" s="1"/>
  <c r="U221" i="3" s="1"/>
  <c r="U222" i="3" s="1"/>
  <c r="U223" i="3" s="1"/>
  <c r="U224" i="3" s="1"/>
  <c r="U225" i="3" s="1"/>
  <c r="U226" i="3" s="1"/>
  <c r="U227" i="3" s="1"/>
  <c r="U228" i="3" s="1"/>
  <c r="U229" i="3" s="1"/>
  <c r="U230" i="3" s="1"/>
  <c r="U231" i="3" s="1"/>
  <c r="U232" i="3" s="1"/>
  <c r="U233" i="3" s="1"/>
  <c r="U234" i="3" s="1"/>
  <c r="U235" i="3" s="1"/>
  <c r="U236" i="3" s="1"/>
  <c r="U237" i="3" s="1"/>
  <c r="U238" i="3" s="1"/>
  <c r="U239" i="3" s="1"/>
  <c r="U240" i="3" s="1"/>
  <c r="U241" i="3" s="1"/>
  <c r="U242" i="3" s="1"/>
  <c r="U243" i="3" s="1"/>
  <c r="U244" i="3" s="1"/>
  <c r="U245" i="3" s="1"/>
  <c r="U246" i="3" s="1"/>
  <c r="U247" i="3" s="1"/>
  <c r="U248" i="3" s="1"/>
  <c r="U249" i="3" s="1"/>
  <c r="U250" i="3" s="1"/>
  <c r="U251" i="3" s="1"/>
  <c r="U252" i="3" s="1"/>
  <c r="U253" i="3" s="1"/>
  <c r="U254" i="3" s="1"/>
  <c r="U255" i="3" s="1"/>
  <c r="U256" i="3" s="1"/>
  <c r="U257" i="3" s="1"/>
  <c r="U258" i="3" s="1"/>
  <c r="U259" i="3" s="1"/>
  <c r="U260" i="3" s="1"/>
  <c r="U261" i="3" s="1"/>
  <c r="U262" i="3" s="1"/>
  <c r="U263" i="3" s="1"/>
  <c r="U264" i="3" s="1"/>
  <c r="U265" i="3" s="1"/>
  <c r="U266" i="3" s="1"/>
  <c r="U267" i="3" s="1"/>
  <c r="U268" i="3" s="1"/>
  <c r="U269" i="3" s="1"/>
  <c r="U270" i="3" s="1"/>
  <c r="U271" i="3" s="1"/>
  <c r="U272" i="3" s="1"/>
  <c r="U273" i="3" s="1"/>
  <c r="U274" i="3" s="1"/>
  <c r="U275" i="3" s="1"/>
  <c r="U276" i="3" s="1"/>
  <c r="U277" i="3" s="1"/>
  <c r="U278" i="3" s="1"/>
  <c r="U279" i="3" s="1"/>
  <c r="U280" i="3" s="1"/>
  <c r="U281" i="3" s="1"/>
  <c r="U282" i="3" s="1"/>
  <c r="U283" i="3" s="1"/>
  <c r="U284" i="3" s="1"/>
  <c r="U285" i="3" s="1"/>
  <c r="U286" i="3" s="1"/>
  <c r="U287" i="3" s="1"/>
  <c r="U288" i="3" s="1"/>
  <c r="U289" i="3" s="1"/>
  <c r="U290" i="3" s="1"/>
  <c r="U291" i="3" s="1"/>
  <c r="U292" i="3" s="1"/>
  <c r="U293" i="3" s="1"/>
  <c r="U294" i="3" s="1"/>
  <c r="U295" i="3" s="1"/>
  <c r="U296" i="3" s="1"/>
  <c r="U297" i="3" s="1"/>
  <c r="U298" i="3" s="1"/>
  <c r="U299" i="3" s="1"/>
  <c r="U300" i="3" s="1"/>
  <c r="Q98" i="3"/>
  <c r="Q45" i="3"/>
  <c r="Q38" i="3"/>
  <c r="Q15" i="3"/>
  <c r="Q3" i="3"/>
  <c r="Q51" i="3"/>
  <c r="Q75" i="3"/>
  <c r="Q76" i="3"/>
  <c r="Q59" i="3"/>
  <c r="Q28" i="3"/>
  <c r="Q84" i="3"/>
  <c r="Q81" i="3"/>
  <c r="Q91" i="3"/>
  <c r="Q26" i="3"/>
  <c r="Q44" i="3"/>
  <c r="Q37" i="3"/>
  <c r="Q11" i="3"/>
  <c r="Q32" i="3"/>
  <c r="Q70" i="3"/>
  <c r="Q24" i="3"/>
  <c r="Q12" i="3"/>
  <c r="Q58" i="3"/>
  <c r="Q94" i="3"/>
  <c r="Q77" i="3"/>
  <c r="Q82" i="3"/>
  <c r="Q49" i="3"/>
  <c r="Q21" i="3"/>
  <c r="Q46" i="3"/>
  <c r="Q17" i="3"/>
  <c r="Q22" i="3"/>
  <c r="Q10" i="3"/>
  <c r="Q36" i="3"/>
  <c r="Q34" i="3"/>
  <c r="Q66" i="3"/>
  <c r="Q96" i="3"/>
  <c r="Q87" i="3"/>
  <c r="Q78" i="3"/>
  <c r="Q13" i="3"/>
  <c r="Q20" i="3"/>
  <c r="Q14" i="3"/>
  <c r="Q16" i="3"/>
  <c r="Q31" i="3"/>
  <c r="Q6" i="3"/>
  <c r="Q60" i="3"/>
  <c r="Q53" i="3"/>
  <c r="Q43" i="3"/>
  <c r="Q92" i="3"/>
  <c r="Q89" i="3"/>
  <c r="Q80" i="3"/>
  <c r="Q73" i="3"/>
  <c r="Q47" i="3"/>
  <c r="Q56" i="3"/>
  <c r="Q48" i="3"/>
  <c r="Q39" i="3"/>
  <c r="Q27" i="3"/>
  <c r="Q41" i="3"/>
  <c r="Q74" i="3"/>
  <c r="Q2" i="3"/>
  <c r="Q83" i="3"/>
  <c r="Q85" i="3"/>
  <c r="Q90" i="3"/>
  <c r="Q19" i="3"/>
  <c r="Q62" i="3"/>
  <c r="Q64" i="3"/>
  <c r="Q25" i="3"/>
  <c r="Q42" i="3"/>
  <c r="Q57" i="3"/>
  <c r="Q63" i="3"/>
  <c r="Q61" i="3"/>
  <c r="Q68" i="3"/>
  <c r="Q29" i="3"/>
  <c r="Q99" i="3"/>
  <c r="Q95" i="3"/>
  <c r="Q86" i="3"/>
  <c r="Q52" i="3"/>
  <c r="Q9" i="3"/>
  <c r="Q33" i="3"/>
  <c r="Q72" i="3"/>
  <c r="Q65" i="3"/>
  <c r="Q40" i="3"/>
  <c r="Q71" i="3"/>
  <c r="Q67" i="3"/>
  <c r="Q8" i="3"/>
  <c r="Q18" i="3"/>
  <c r="Q100" i="3"/>
  <c r="Q97" i="3"/>
  <c r="Q88" i="3"/>
  <c r="Q55" i="3"/>
  <c r="Q5" i="3"/>
  <c r="Q50" i="3"/>
  <c r="Q4" i="3"/>
  <c r="Q35" i="3"/>
  <c r="Q69" i="3"/>
  <c r="Q23" i="3"/>
  <c r="Q54" i="3"/>
  <c r="Q7" i="3"/>
  <c r="Q30" i="3"/>
  <c r="Q79" i="3"/>
  <c r="Q93" i="3"/>
</calcChain>
</file>

<file path=xl/sharedStrings.xml><?xml version="1.0" encoding="utf-8"?>
<sst xmlns="http://schemas.openxmlformats.org/spreadsheetml/2006/main" count="3841" uniqueCount="208">
  <si>
    <t>Speed Module</t>
  </si>
  <si>
    <t>Copper Cable</t>
  </si>
  <si>
    <t>Iron Plate</t>
  </si>
  <si>
    <t>Plastic Bar</t>
  </si>
  <si>
    <t>Copper Plate</t>
  </si>
  <si>
    <t>Electronic Circuit</t>
  </si>
  <si>
    <t>Advanced Circuit</t>
  </si>
  <si>
    <t>Assembling Machine 1</t>
  </si>
  <si>
    <t>Iron Gear Wheel</t>
  </si>
  <si>
    <t>Assembling Machine 2</t>
  </si>
  <si>
    <t>Assembling Machine 3</t>
  </si>
  <si>
    <t>Name</t>
  </si>
  <si>
    <t>Per Second</t>
  </si>
  <si>
    <t>Selected Count</t>
  </si>
  <si>
    <t>Selected Per Second</t>
  </si>
  <si>
    <t>Component</t>
  </si>
  <si>
    <t>Quantity</t>
  </si>
  <si>
    <t>Producers For 1</t>
  </si>
  <si>
    <t>Producers For Selected Count</t>
  </si>
  <si>
    <t>Include Row Index</t>
  </si>
  <si>
    <t>Condensed</t>
  </si>
  <si>
    <t>Producers</t>
  </si>
  <si>
    <t>Steam Engine</t>
  </si>
  <si>
    <t>Pipe</t>
  </si>
  <si>
    <t>Transport Belt</t>
  </si>
  <si>
    <t>Fast Transport Belt</t>
  </si>
  <si>
    <t>Express Transport Belt</t>
  </si>
  <si>
    <t>Underground Belt</t>
  </si>
  <si>
    <t>Fast Underground Belt</t>
  </si>
  <si>
    <t>Express Underground Belt</t>
  </si>
  <si>
    <t>Splitter</t>
  </si>
  <si>
    <t>Fast Splitter</t>
  </si>
  <si>
    <t>Express Splitter</t>
  </si>
  <si>
    <t>Lubricant</t>
  </si>
  <si>
    <t>Piercing Rounds Magazine</t>
  </si>
  <si>
    <t>Steel Plate</t>
  </si>
  <si>
    <t>Gun Turret</t>
  </si>
  <si>
    <t>Grenade</t>
  </si>
  <si>
    <t>Coal</t>
  </si>
  <si>
    <t>Medium Electric Pole</t>
  </si>
  <si>
    <t>Big Electric Pole</t>
  </si>
  <si>
    <t>Substation</t>
  </si>
  <si>
    <t>Inserter</t>
  </si>
  <si>
    <t>Long Handed Inserter</t>
  </si>
  <si>
    <t>Fast Inserter</t>
  </si>
  <si>
    <t>Filter Inserter</t>
  </si>
  <si>
    <t>Stack Inserter</t>
  </si>
  <si>
    <t>Stack Filter Inserter</t>
  </si>
  <si>
    <t>Science Pack 1</t>
  </si>
  <si>
    <t>Science Pack 2</t>
  </si>
  <si>
    <t>Science Pack 3</t>
  </si>
  <si>
    <t>Alien Science Pack</t>
  </si>
  <si>
    <t>Battery</t>
  </si>
  <si>
    <t>Engine Unit</t>
  </si>
  <si>
    <t>Electric Engine Unit</t>
  </si>
  <si>
    <t>Flying Robot Frame</t>
  </si>
  <si>
    <t>Construction Robot</t>
  </si>
  <si>
    <t>Logistic Robot</t>
  </si>
  <si>
    <t>Type</t>
  </si>
  <si>
    <t>Assembly Machine</t>
  </si>
  <si>
    <t>Chemical Plant</t>
  </si>
  <si>
    <t>Furnace</t>
  </si>
  <si>
    <t>Sulfuric Acid</t>
  </si>
  <si>
    <t>Water</t>
  </si>
  <si>
    <t>Sulfur</t>
  </si>
  <si>
    <t>Petroleum Gas</t>
  </si>
  <si>
    <t>Oil Refinery</t>
  </si>
  <si>
    <t>Solar Panel</t>
  </si>
  <si>
    <t>Accumulator</t>
  </si>
  <si>
    <t>Radar</t>
  </si>
  <si>
    <t>Military Science Pack</t>
  </si>
  <si>
    <t>Firearm Magazine</t>
  </si>
  <si>
    <t>Selected</t>
  </si>
  <si>
    <t>Selected Sorted</t>
  </si>
  <si>
    <t>Selected Name</t>
  </si>
  <si>
    <t>Selected Component</t>
  </si>
  <si>
    <t>Selected Quantity</t>
  </si>
  <si>
    <t>0</t>
  </si>
  <si>
    <t>Production Science Pack</t>
  </si>
  <si>
    <t>Pumpjack</t>
  </si>
  <si>
    <t>Electric Furnace</t>
  </si>
  <si>
    <t>High Tech Science Pack</t>
  </si>
  <si>
    <t>Processing Unit</t>
  </si>
  <si>
    <t>Stone Brick</t>
  </si>
  <si>
    <t>Stone</t>
  </si>
  <si>
    <t>Iron Ore</t>
  </si>
  <si>
    <t>Copper Ore</t>
  </si>
  <si>
    <t>Electric Mining Drill</t>
  </si>
  <si>
    <t>Refineries</t>
  </si>
  <si>
    <t>Chemical Plants</t>
  </si>
  <si>
    <t>Miners</t>
  </si>
  <si>
    <t>Furnaces</t>
  </si>
  <si>
    <t>Include</t>
  </si>
  <si>
    <t>Refinery</t>
  </si>
  <si>
    <t>Assembly Machines</t>
  </si>
  <si>
    <t>Assembly Machine 2</t>
  </si>
  <si>
    <t>Assembly Machine 1</t>
  </si>
  <si>
    <t>Assembly Machine 3</t>
  </si>
  <si>
    <t>Stone Furnace</t>
  </si>
  <si>
    <t>Steel Furnace</t>
  </si>
  <si>
    <t>Speed</t>
  </si>
  <si>
    <t>Burner Mining Drill</t>
  </si>
  <si>
    <t>Offshore Pump</t>
  </si>
  <si>
    <t>Wooden Chest</t>
  </si>
  <si>
    <t>Wood</t>
  </si>
  <si>
    <t>Raw Wood</t>
  </si>
  <si>
    <t>Iron Chest</t>
  </si>
  <si>
    <t>Steel Chest</t>
  </si>
  <si>
    <t>Storage Tank</t>
  </si>
  <si>
    <t>Used</t>
  </si>
  <si>
    <t>Fractional Producers for Selected Count</t>
  </si>
  <si>
    <t>Laser Turret</t>
  </si>
  <si>
    <t>Efficiency Module 2</t>
  </si>
  <si>
    <t>Efficiency Module 3</t>
  </si>
  <si>
    <t>Speed Module 2</t>
  </si>
  <si>
    <t>Speed Module 3</t>
  </si>
  <si>
    <t>Efficiency Module</t>
  </si>
  <si>
    <t>Productivity Module</t>
  </si>
  <si>
    <t>Productivity Module 2</t>
  </si>
  <si>
    <t>Productivity Module 3</t>
  </si>
  <si>
    <t>Roboport</t>
  </si>
  <si>
    <t>Beacon</t>
  </si>
  <si>
    <t>Defender Capsule</t>
  </si>
  <si>
    <t>Distractor Capsule</t>
  </si>
  <si>
    <t>Destroyer Capsule</t>
  </si>
  <si>
    <t>Poison Capsule</t>
  </si>
  <si>
    <t>Slowdown Capsule</t>
  </si>
  <si>
    <t>Rocket Control Unit</t>
  </si>
  <si>
    <t>Satellite</t>
  </si>
  <si>
    <t>Low Density Structure</t>
  </si>
  <si>
    <t>Rocket Fuel</t>
  </si>
  <si>
    <t>Solid Fuel</t>
  </si>
  <si>
    <t>Overrides</t>
  </si>
  <si>
    <t>Bonus</t>
  </si>
  <si>
    <t>Override Speed</t>
  </si>
  <si>
    <t>Producer Quantity</t>
  </si>
  <si>
    <t>Production / Minute</t>
  </si>
  <si>
    <t>Rocket Launch</t>
  </si>
  <si>
    <t>Iron Stick</t>
  </si>
  <si>
    <t>Explosives</t>
  </si>
  <si>
    <t>Iron Axe</t>
  </si>
  <si>
    <t>Steel Axe</t>
  </si>
  <si>
    <t>Repair Pack</t>
  </si>
  <si>
    <t>Boiler</t>
  </si>
  <si>
    <t>Steam Turbine</t>
  </si>
  <si>
    <t>Nuclear Reactor</t>
  </si>
  <si>
    <t>Concrete</t>
  </si>
  <si>
    <t>Heat Exchanger</t>
  </si>
  <si>
    <t>Heat Pipe</t>
  </si>
  <si>
    <t>Centrifuge</t>
  </si>
  <si>
    <t>Lab</t>
  </si>
  <si>
    <t>Small Electric Pole</t>
  </si>
  <si>
    <t>Pipe to Ground</t>
  </si>
  <si>
    <t>Pump</t>
  </si>
  <si>
    <t>Straight Rail</t>
  </si>
  <si>
    <t>Train Stop</t>
  </si>
  <si>
    <t>Rail Signal</t>
  </si>
  <si>
    <t>Rail Chain Signal</t>
  </si>
  <si>
    <t>Locomotive</t>
  </si>
  <si>
    <t>Cargo Wagon</t>
  </si>
  <si>
    <t>Fluid Wagon</t>
  </si>
  <si>
    <t>Car</t>
  </si>
  <si>
    <t>Tank</t>
  </si>
  <si>
    <t>Active Provider Chest</t>
  </si>
  <si>
    <t>Passive Provider Chest</t>
  </si>
  <si>
    <t>Requester Chest</t>
  </si>
  <si>
    <t>Storage Chest</t>
  </si>
  <si>
    <t>Hazard Concrete</t>
  </si>
  <si>
    <t>Landfill</t>
  </si>
  <si>
    <t>Item</t>
  </si>
  <si>
    <t>Produced Per Second</t>
  </si>
  <si>
    <t>Components in Recipe</t>
  </si>
  <si>
    <t>Member of Recipes</t>
  </si>
  <si>
    <t>Production / Second</t>
  </si>
  <si>
    <t>qty / sec</t>
  </si>
  <si>
    <t>qty /min</t>
  </si>
  <si>
    <t>Selected Item</t>
  </si>
  <si>
    <t>Active Component</t>
  </si>
  <si>
    <t>Selected Base Cycle Time</t>
  </si>
  <si>
    <t>Time to Make 1</t>
  </si>
  <si>
    <t>time / 1</t>
  </si>
  <si>
    <t>producers</t>
  </si>
  <si>
    <t>Actual</t>
  </si>
  <si>
    <t>Base Cycle Time</t>
  </si>
  <si>
    <t>Producer</t>
  </si>
  <si>
    <t>Producer Type</t>
  </si>
  <si>
    <t>Component Count</t>
  </si>
  <si>
    <t>All</t>
  </si>
  <si>
    <t>Fractional Producers</t>
  </si>
  <si>
    <t>None</t>
  </si>
  <si>
    <t>Actual Cycle Time</t>
  </si>
  <si>
    <t>Totals</t>
  </si>
  <si>
    <t>Production Options</t>
  </si>
  <si>
    <t>Producer Types</t>
  </si>
  <si>
    <t>Miner</t>
  </si>
  <si>
    <t>Assembly</t>
  </si>
  <si>
    <t>Overhead</t>
  </si>
  <si>
    <t>Quantity Per Cycle</t>
  </si>
  <si>
    <t>Base Speed</t>
  </si>
  <si>
    <t>Pumps</t>
  </si>
  <si>
    <t>Cycle Time for One</t>
  </si>
  <si>
    <t>Minimum Cycle Time</t>
  </si>
  <si>
    <t>Seconds to Make 1</t>
  </si>
  <si>
    <t>Rocket Launch with Satellite</t>
  </si>
  <si>
    <t>Needed Per Second</t>
  </si>
  <si>
    <t>Created Per Second</t>
  </si>
  <si>
    <t>Research</t>
  </si>
  <si>
    <t>Heavy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</si>
</sst>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??"/>
    <numFmt numFmtId="165" formatCode=";;;"/>
    <numFmt numFmtId="166" formatCode="0;;;"/>
    <numFmt numFmtId="167" formatCode="0;\-0;\-;@"/>
    <numFmt numFmtId="168" formatCode="0%;\-0%;\-;@"/>
    <numFmt numFmtId="169" formatCode="0.0????;\-0.0????;\-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double">
        <color rgb="FFFF8001"/>
      </bottom>
      <diagonal/>
    </border>
    <border>
      <left/>
      <right style="thin">
        <color theme="4" tint="-0.24994659260841701"/>
      </right>
      <top/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10" applyNumberFormat="0" applyFill="0" applyAlignment="0" applyProtection="0"/>
  </cellStyleXfs>
  <cellXfs count="87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 shrinkToFit="1"/>
    </xf>
    <xf numFmtId="0" fontId="1" fillId="0" borderId="0" xfId="0" applyFont="1" applyAlignment="1">
      <alignment horizontal="center"/>
    </xf>
    <xf numFmtId="0" fontId="1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Font="1" applyAlignment="1">
      <alignment wrapText="1"/>
    </xf>
    <xf numFmtId="9" fontId="0" fillId="0" borderId="0" xfId="1" applyFont="1" applyAlignment="1">
      <alignment horizontal="center" wrapText="1"/>
    </xf>
    <xf numFmtId="165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8" fontId="1" fillId="0" borderId="0" xfId="1" applyNumberFormat="1" applyFont="1" applyAlignment="1">
      <alignment horizontal="center"/>
    </xf>
    <xf numFmtId="0" fontId="1" fillId="0" borderId="0" xfId="0" applyFont="1" applyAlignment="1">
      <alignment shrinkToFit="1"/>
    </xf>
    <xf numFmtId="0" fontId="1" fillId="0" borderId="0" xfId="0" applyNumberFormat="1" applyFont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165" fontId="1" fillId="0" borderId="0" xfId="0" applyNumberFormat="1" applyFont="1" applyAlignment="1">
      <alignment horizontal="center" shrinkToFit="1"/>
    </xf>
    <xf numFmtId="0" fontId="0" fillId="0" borderId="0" xfId="0" applyFont="1" applyAlignment="1">
      <alignment horizontal="right" shrinkToFit="1"/>
    </xf>
    <xf numFmtId="0" fontId="1" fillId="0" borderId="0" xfId="0" applyFont="1" applyFill="1" applyBorder="1" applyAlignment="1">
      <alignment horizontal="center" shrinkToFit="1"/>
    </xf>
    <xf numFmtId="0" fontId="2" fillId="0" borderId="2" xfId="0" applyFont="1" applyBorder="1" applyAlignment="1">
      <alignment horizontal="left" shrinkToFit="1"/>
    </xf>
    <xf numFmtId="167" fontId="1" fillId="0" borderId="4" xfId="0" applyNumberFormat="1" applyFont="1" applyBorder="1" applyAlignment="1">
      <alignment horizontal="center" shrinkToFit="1"/>
    </xf>
    <xf numFmtId="167" fontId="1" fillId="0" borderId="5" xfId="0" applyNumberFormat="1" applyFont="1" applyBorder="1" applyAlignment="1">
      <alignment horizontal="center" shrinkToFit="1"/>
    </xf>
    <xf numFmtId="167" fontId="2" fillId="0" borderId="4" xfId="0" applyNumberFormat="1" applyFont="1" applyBorder="1" applyAlignment="1">
      <alignment horizontal="center" shrinkToFi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right" wrapText="1"/>
    </xf>
    <xf numFmtId="0" fontId="4" fillId="0" borderId="0" xfId="0" applyFont="1" applyAlignment="1">
      <alignment wrapText="1"/>
    </xf>
    <xf numFmtId="0" fontId="0" fillId="0" borderId="0" xfId="0" applyFont="1" applyAlignment="1">
      <alignment horizontal="right" indent="1" shrinkToFit="1"/>
    </xf>
    <xf numFmtId="0" fontId="1" fillId="2" borderId="1" xfId="0" applyFont="1" applyFill="1" applyBorder="1" applyAlignment="1">
      <alignment horizontal="center" shrinkToFit="1"/>
    </xf>
    <xf numFmtId="169" fontId="1" fillId="2" borderId="1" xfId="0" applyNumberFormat="1" applyFont="1" applyFill="1" applyBorder="1" applyAlignment="1">
      <alignment horizontal="right" shrinkToFit="1"/>
    </xf>
    <xf numFmtId="169" fontId="0" fillId="2" borderId="1" xfId="0" applyNumberFormat="1" applyFont="1" applyFill="1" applyBorder="1" applyAlignment="1">
      <alignment horizontal="right" shrinkToFit="1"/>
    </xf>
    <xf numFmtId="0" fontId="3" fillId="0" borderId="2" xfId="0" applyFont="1" applyBorder="1" applyAlignment="1">
      <alignment horizontal="center" shrinkToFit="1"/>
    </xf>
    <xf numFmtId="0" fontId="4" fillId="0" borderId="0" xfId="0" applyFont="1" applyAlignment="1">
      <alignment horizontal="center" wrapText="1"/>
    </xf>
    <xf numFmtId="9" fontId="1" fillId="2" borderId="1" xfId="0" applyNumberFormat="1" applyFont="1" applyFill="1" applyBorder="1" applyAlignment="1">
      <alignment horizontal="center" shrinkToFit="1"/>
    </xf>
    <xf numFmtId="9" fontId="0" fillId="2" borderId="1" xfId="0" applyNumberFormat="1" applyFont="1" applyFill="1" applyBorder="1" applyAlignment="1">
      <alignment horizontal="center" shrinkToFi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NumberFormat="1" applyFont="1"/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5" fillId="0" borderId="10" xfId="2"/>
    <xf numFmtId="0" fontId="0" fillId="0" borderId="0" xfId="0" applyNumberFormat="1" applyFont="1" applyAlignment="1">
      <alignment horizontal="center" wrapText="1"/>
    </xf>
    <xf numFmtId="0" fontId="1" fillId="0" borderId="0" xfId="0" applyNumberFormat="1" applyFont="1" applyAlignment="1">
      <alignment horizontal="center"/>
    </xf>
    <xf numFmtId="0" fontId="0" fillId="2" borderId="3" xfId="0" applyNumberFormat="1" applyFont="1" applyFill="1" applyBorder="1" applyAlignment="1">
      <alignment horizontal="center" shrinkToFit="1"/>
    </xf>
    <xf numFmtId="0" fontId="10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12" fillId="0" borderId="0" xfId="0" applyFont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8" fillId="0" borderId="0" xfId="0" applyFont="1" applyAlignment="1">
      <alignment horizontal="right" shrinkToFit="1"/>
    </xf>
    <xf numFmtId="0" fontId="0" fillId="0" borderId="0" xfId="0" applyFont="1" applyAlignment="1">
      <alignment horizontal="right" indent="1" shrinkToFit="1"/>
    </xf>
    <xf numFmtId="0" fontId="1" fillId="0" borderId="0" xfId="0" applyFont="1" applyAlignment="1">
      <alignment horizontal="right" indent="1" shrinkToFit="1"/>
    </xf>
    <xf numFmtId="0" fontId="2" fillId="0" borderId="2" xfId="0" applyFont="1" applyBorder="1" applyAlignment="1">
      <alignment horizontal="left" shrinkToFit="1"/>
    </xf>
    <xf numFmtId="0" fontId="1" fillId="0" borderId="6" xfId="0" applyFont="1" applyBorder="1" applyAlignment="1">
      <alignment horizontal="right" shrinkToFit="1"/>
    </xf>
    <xf numFmtId="0" fontId="11" fillId="0" borderId="0" xfId="0" applyFont="1" applyAlignment="1">
      <alignment horizontal="right" shrinkToFit="1"/>
    </xf>
    <xf numFmtId="0" fontId="7" fillId="0" borderId="0" xfId="0" applyFont="1" applyAlignment="1">
      <alignment horizontal="right" shrinkToFit="1"/>
    </xf>
    <xf numFmtId="0" fontId="13" fillId="0" borderId="0" xfId="0" applyFont="1" applyAlignment="1">
      <alignment horizontal="right" shrinkToFit="1"/>
    </xf>
    <xf numFmtId="0" fontId="6" fillId="0" borderId="0" xfId="0" applyFont="1" applyAlignment="1">
      <alignment horizontal="right" shrinkToFit="1"/>
    </xf>
    <xf numFmtId="0" fontId="1" fillId="2" borderId="7" xfId="0" applyFont="1" applyFill="1" applyBorder="1" applyAlignment="1">
      <alignment horizontal="center" shrinkToFit="1"/>
    </xf>
    <xf numFmtId="0" fontId="1" fillId="2" borderId="8" xfId="0" applyFont="1" applyFill="1" applyBorder="1" applyAlignment="1">
      <alignment horizontal="center" shrinkToFit="1"/>
    </xf>
    <xf numFmtId="0" fontId="2" fillId="0" borderId="6" xfId="0" applyFont="1" applyBorder="1" applyAlignment="1">
      <alignment horizontal="right" indent="1" shrinkToFit="1"/>
    </xf>
    <xf numFmtId="0" fontId="0" fillId="0" borderId="6" xfId="0" applyFont="1" applyBorder="1" applyAlignment="1">
      <alignment horizontal="right" indent="1" shrinkToFit="1"/>
    </xf>
    <xf numFmtId="0" fontId="0" fillId="0" borderId="12" xfId="0" applyFont="1" applyBorder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9" fillId="0" borderId="11" xfId="0" applyFont="1" applyBorder="1" applyAlignment="1">
      <alignment horizontal="right" indent="1" shrinkToFit="1"/>
    </xf>
    <xf numFmtId="0" fontId="0" fillId="2" borderId="7" xfId="0" applyFont="1" applyFill="1" applyBorder="1" applyAlignment="1">
      <alignment horizontal="center" shrinkToFit="1"/>
    </xf>
    <xf numFmtId="0" fontId="1" fillId="2" borderId="9" xfId="0" applyFont="1" applyFill="1" applyBorder="1" applyAlignment="1">
      <alignment horizontal="center" shrinkToFit="1"/>
    </xf>
  </cellXfs>
  <cellStyles count="3">
    <cellStyle name="Linked Cell" xfId="2" builtinId="24"/>
    <cellStyle name="Normal" xfId="0" builtinId="0"/>
    <cellStyle name="Percent" xfId="1" builtinId="5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alignment horizontal="right" vertical="bottom" textRotation="0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alignment vertical="bottom" textRotation="0" wrapTex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bottom" textRotation="0" wrapText="1" justifyLastLine="0" shrinkToFit="0" readingOrder="0"/>
    </dxf>
    <dxf>
      <numFmt numFmtId="165" formatCode=";;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0;;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%;\-0%;\-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alignment vertical="bottom" textRotation="0" wrapText="1" justifyLastLine="0" shrinkToFit="0" readingOrder="0"/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numFmt numFmtId="165" formatCode=";;;"/>
      <border>
        <top/>
        <vertical/>
        <horizontal/>
      </border>
    </dxf>
    <dxf>
      <numFmt numFmtId="165" formatCode=";;;"/>
      <border>
        <top/>
        <vertical/>
        <horizontal/>
      </border>
    </dxf>
    <dxf>
      <font>
        <color rgb="FFCC0000"/>
      </font>
    </dxf>
    <dxf>
      <font>
        <color rgb="FF7030A0"/>
      </font>
    </dxf>
    <dxf>
      <font>
        <color theme="5" tint="-0.24994659260841701"/>
      </font>
    </dxf>
    <dxf>
      <font>
        <color theme="7" tint="-0.499984740745262"/>
      </font>
    </dxf>
    <dxf>
      <font>
        <color theme="9" tint="-0.24994659260841701"/>
      </font>
    </dxf>
    <dxf>
      <font>
        <color theme="4" tint="0.59996337778862885"/>
      </font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22" lockText="1" noThreeD="1"/>
</file>

<file path=xl/ctrlProps/ctrlProp2.xml><?xml version="1.0" encoding="utf-8"?>
<formControlPr xmlns="http://schemas.microsoft.com/office/spreadsheetml/2009/9/main" objectType="CheckBox" checked="Checked" fmlaLink="$D$23" lockText="1" noThreeD="1"/>
</file>

<file path=xl/ctrlProps/ctrlProp3.xml><?xml version="1.0" encoding="utf-8"?>
<formControlPr xmlns="http://schemas.microsoft.com/office/spreadsheetml/2009/9/main" objectType="CheckBox" checked="Checked" fmlaLink="$D$24" lockText="1" noThreeD="1"/>
</file>

<file path=xl/ctrlProps/ctrlProp4.xml><?xml version="1.0" encoding="utf-8"?>
<formControlPr xmlns="http://schemas.microsoft.com/office/spreadsheetml/2009/9/main" objectType="CheckBox" checked="Checked" fmlaLink="$D$25" lockText="1" noThreeD="1"/>
</file>

<file path=xl/ctrlProps/ctrlProp5.xml><?xml version="1.0" encoding="utf-8"?>
<formControlPr xmlns="http://schemas.microsoft.com/office/spreadsheetml/2009/9/main" objectType="CheckBox" fmlaLink="$D$26" lockText="1" noThreeD="1"/>
</file>

<file path=xl/ctrlProps/ctrlProp6.xml><?xml version="1.0" encoding="utf-8"?>
<formControlPr xmlns="http://schemas.microsoft.com/office/spreadsheetml/2009/9/main" objectType="CheckBox" fmlaLink="$D$27" lockText="1" noThreeD="1"/>
</file>

<file path=xl/ctrlProps/ctrlProp7.xml><?xml version="1.0" encoding="utf-8"?>
<formControlPr xmlns="http://schemas.microsoft.com/office/spreadsheetml/2009/9/main" objectType="CheckBox" fmlaLink="$S$2" lockText="1" noThreeD="1"/>
</file>

<file path=xl/ctrlProps/ctrlProp8.xml><?xml version="1.0" encoding="utf-8"?>
<formControlPr xmlns="http://schemas.microsoft.com/office/spreadsheetml/2009/9/main" objectType="CheckBox" fmlaLink="$S$3" lockText="1" noThreeD="1"/>
</file>

<file path=xl/ctrlProps/ctrlProp9.xml><?xml version="1.0" encoding="utf-8"?>
<formControlPr xmlns="http://schemas.microsoft.com/office/spreadsheetml/2009/9/main" objectType="CheckBox" fmlaLink="$S$4" lockText="1" noThreeD="1"/>
</file>

<file path=xl/ctrlProps/ctrlProp10.xml><?xml version="1.0" encoding="utf-8"?>
<formControlPr xmlns="http://schemas.microsoft.com/office/spreadsheetml/2009/9/main" objectType="CheckBox" fmlaLink="$S$5" lockText="1" noThreeD="1"/>
</file>

<file path=xl/ctrlProps/ctrlProp11.xml><?xml version="1.0" encoding="utf-8"?>
<formControlPr xmlns="http://schemas.microsoft.com/office/spreadsheetml/2009/9/main" objectType="CheckBox" fmlaLink="$S$6" lockText="1" noThreeD="1"/>
</file>

<file path=xl/ctrlProps/ctrlProp12.xml><?xml version="1.0" encoding="utf-8"?>
<formControlPr xmlns="http://schemas.microsoft.com/office/spreadsheetml/2009/9/main" objectType="CheckBox" fmlaLink="$S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0</xdr:rowOff>
        </xdr:from>
        <xdr:to>
          <xdr:col>3</xdr:col>
          <xdr:colOff>304800</xdr:colOff>
          <xdr:row>22</xdr:row>
          <xdr:rowOff>19050</xdr:rowOff>
        </xdr:to>
        <xdr:sp macro="" textlink="">
          <xdr:nvSpPr>
            <xdr:cNvPr id="4252" name="_IncludeAssemblyMachines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0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3</xdr:col>
          <xdr:colOff>304800</xdr:colOff>
          <xdr:row>23</xdr:row>
          <xdr:rowOff>19050</xdr:rowOff>
        </xdr:to>
        <xdr:sp macro="" textlink="">
          <xdr:nvSpPr>
            <xdr:cNvPr id="4253" name="_IncludeChemicalPlants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0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3</xdr:col>
          <xdr:colOff>304800</xdr:colOff>
          <xdr:row>24</xdr:row>
          <xdr:rowOff>19050</xdr:rowOff>
        </xdr:to>
        <xdr:sp macro="" textlink="">
          <xdr:nvSpPr>
            <xdr:cNvPr id="4254" name="_IncludeFurnaces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0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0</xdr:rowOff>
        </xdr:from>
        <xdr:to>
          <xdr:col>3</xdr:col>
          <xdr:colOff>304800</xdr:colOff>
          <xdr:row>25</xdr:row>
          <xdr:rowOff>19050</xdr:rowOff>
        </xdr:to>
        <xdr:sp macro="" textlink="">
          <xdr:nvSpPr>
            <xdr:cNvPr id="4255" name="_IncludeMiners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0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0</xdr:rowOff>
        </xdr:from>
        <xdr:to>
          <xdr:col>3</xdr:col>
          <xdr:colOff>304800</xdr:colOff>
          <xdr:row>26</xdr:row>
          <xdr:rowOff>19050</xdr:rowOff>
        </xdr:to>
        <xdr:sp macro="" textlink="">
          <xdr:nvSpPr>
            <xdr:cNvPr id="4256" name="_IncludePumps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0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304800</xdr:colOff>
          <xdr:row>27</xdr:row>
          <xdr:rowOff>19050</xdr:rowOff>
        </xdr:to>
        <xdr:sp macro="" textlink="">
          <xdr:nvSpPr>
            <xdr:cNvPr id="4257" name="_IncludeRefineries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0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</xdr:row>
          <xdr:rowOff>0</xdr:rowOff>
        </xdr:from>
        <xdr:to>
          <xdr:col>18</xdr:col>
          <xdr:colOff>590550</xdr:colOff>
          <xdr:row>2</xdr:row>
          <xdr:rowOff>9525</xdr:rowOff>
        </xdr:to>
        <xdr:sp macro="" textlink="">
          <xdr:nvSpPr>
            <xdr:cNvPr id="8394" name="Check Box 3274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B8B30021-08C7-4F2C-9369-2DB1FA06D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</xdr:row>
          <xdr:rowOff>0</xdr:rowOff>
        </xdr:from>
        <xdr:to>
          <xdr:col>18</xdr:col>
          <xdr:colOff>590550</xdr:colOff>
          <xdr:row>3</xdr:row>
          <xdr:rowOff>19050</xdr:rowOff>
        </xdr:to>
        <xdr:sp macro="" textlink="">
          <xdr:nvSpPr>
            <xdr:cNvPr id="8395" name="Check Box 3275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D8C7C774-AE67-4903-9128-498AD6E85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</xdr:row>
          <xdr:rowOff>0</xdr:rowOff>
        </xdr:from>
        <xdr:to>
          <xdr:col>18</xdr:col>
          <xdr:colOff>590550</xdr:colOff>
          <xdr:row>4</xdr:row>
          <xdr:rowOff>19050</xdr:rowOff>
        </xdr:to>
        <xdr:sp macro="" textlink="">
          <xdr:nvSpPr>
            <xdr:cNvPr id="8396" name="Check Box 3276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1A285141-2AC2-4281-92FB-21F7796DA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</xdr:row>
          <xdr:rowOff>0</xdr:rowOff>
        </xdr:from>
        <xdr:to>
          <xdr:col>18</xdr:col>
          <xdr:colOff>590550</xdr:colOff>
          <xdr:row>5</xdr:row>
          <xdr:rowOff>19050</xdr:rowOff>
        </xdr:to>
        <xdr:sp macro="" textlink="">
          <xdr:nvSpPr>
            <xdr:cNvPr id="8397" name="Check Box 3277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B1865959-BBDF-4D62-ADC3-23B730B48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</xdr:row>
          <xdr:rowOff>0</xdr:rowOff>
        </xdr:from>
        <xdr:to>
          <xdr:col>18</xdr:col>
          <xdr:colOff>590550</xdr:colOff>
          <xdr:row>6</xdr:row>
          <xdr:rowOff>19050</xdr:rowOff>
        </xdr:to>
        <xdr:sp macro="" textlink="">
          <xdr:nvSpPr>
            <xdr:cNvPr id="8398" name="Check Box 3278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5C40117A-10F4-4BBA-B593-3E1FB8CF5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6</xdr:row>
          <xdr:rowOff>0</xdr:rowOff>
        </xdr:from>
        <xdr:to>
          <xdr:col>18</xdr:col>
          <xdr:colOff>590550</xdr:colOff>
          <xdr:row>7</xdr:row>
          <xdr:rowOff>19050</xdr:rowOff>
        </xdr:to>
        <xdr:sp macro="" textlink="">
          <xdr:nvSpPr>
            <xdr:cNvPr id="8399" name="Check Box 3279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84BCD058-F41E-423C-BC5C-467359532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hingsNeeded" displayName="ThingsNeeded" ref="G1:S100" totalsRowShown="0" headerRowDxfId="61">
  <autoFilter ref="G1:S10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mponent" dataDxfId="60">
      <calculatedColumnFormula>IFERROR(INDEX(Items[Name], Items[[#This Row],[Condensed]]), "")</calculatedColumnFormula>
    </tableColumn>
    <tableColumn id="5" xr3:uid="{00000000-0010-0000-0000-000005000000}" name="Producers" dataDxfId="59">
      <calculatedColumnFormula>IFERROR(INDEX(Items[Producers For Selected Count], Items[[#This Row],[Condensed]]), "")</calculatedColumnFormula>
    </tableColumn>
    <tableColumn id="15" xr3:uid="{00000000-0010-0000-0000-00000F000000}" name="Fractional Producers" dataDxfId="58">
      <calculatedColumnFormula>IFERROR(INDEX(Items[Fractional Producers for Selected Count], Items[[#This Row],[Condensed]]), "")</calculatedColumnFormula>
    </tableColumn>
    <tableColumn id="9" xr3:uid="{00000000-0010-0000-0000-000009000000}" name="Base Cycle Time" dataDxfId="57">
      <calculatedColumnFormula>IFERROR(INDEX(Items[Base Cycle Time], MATCH(ThingsNeeded[[#This Row],[Component]], Items[Name], 0)), "")</calculatedColumnFormula>
    </tableColumn>
    <tableColumn id="4" xr3:uid="{00000000-0010-0000-0000-000004000000}" name="Actual Cycle Time" dataDxfId="56">
      <calculatedColumnFormula>IFERROR(ROUND(1 / ThingsNeeded[[#This Row],[Produced Per Second]], 2), "")</calculatedColumnFormula>
    </tableColumn>
    <tableColumn id="7" xr3:uid="{00000000-0010-0000-0000-000007000000}" name="Produced Per Second" dataDxfId="55">
      <calculatedColumnFormula>IFERROR(INDEX(Items[Per Second], MATCH(ThingsNeeded[[#This Row],[Component]], Items[Name], 0)), "")</calculatedColumnFormula>
    </tableColumn>
    <tableColumn id="2" xr3:uid="{00000000-0010-0000-0000-000002000000}" name="Type" dataDxfId="54">
      <calculatedColumnFormula>IFERROR(LEFT(INDEX(Items[Producer Type], Items[[#This Row],[Condensed]]), 1), "")</calculatedColumnFormula>
    </tableColumn>
    <tableColumn id="3" xr3:uid="{00000000-0010-0000-0000-000003000000}" name="Needed Per Second" dataDxfId="53">
      <calculatedColumnFormula>IFERROR(CEILING(INDEX(Items[Selected Per Second], Items[[#This Row],[Condensed]]), 0.01), "")</calculatedColumnFormula>
    </tableColumn>
    <tableColumn id="8" xr3:uid="{00000000-0010-0000-0000-000008000000}" name="Created Per Second" dataDxfId="52">
      <calculatedColumnFormula>IFERROR(ROUND(ThingsNeeded[[#This Row],[Producers]] / ThingsNeeded[[#This Row],[Fractional Producers]] * ThingsNeeded[[#This Row],[Needed Per Second]], 2), "")</calculatedColumnFormula>
    </tableColumn>
    <tableColumn id="14" xr3:uid="{00000000-0010-0000-0000-00000E000000}" name="Overhead" dataDxfId="51" dataCellStyle="Percent">
      <calculatedColumnFormula>IFERROR(IF(ThingsNeeded[[#This Row],[Used]], 0, ROUND(ThingsNeeded[[#This Row],[Created Per Second]] / ThingsNeeded[[#This Row],[Needed Per Second]] - 1, 2)), "")</calculatedColumnFormula>
    </tableColumn>
    <tableColumn id="12" xr3:uid="{00000000-0010-0000-0000-00000C000000}" name="Member of Recipes" dataDxfId="50">
      <calculatedColumnFormula>COUNTIF(ComponentRecipes2[Component], ThingsNeeded[[#This Row],[Component]])</calculatedColumnFormula>
    </tableColumn>
    <tableColumn id="6" xr3:uid="{00000000-0010-0000-0000-000006000000}" name="Components in Recipe" dataDxfId="49">
      <calculatedColumnFormula>IF(ThingsNeeded[[#This Row],[Component]] = "", "", COUNTIF(Recipes[Name], ThingsNeeded[[#This Row],[Component]]))</calculatedColumnFormula>
    </tableColumn>
    <tableColumn id="10" xr3:uid="{00000000-0010-0000-0000-00000A000000}" name="Used" dataDxfId="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omponentRecipes2" displayName="ComponentRecipes2" ref="Z1:AC300" totalsRowShown="0" headerRowDxfId="47" dataDxfId="46">
  <autoFilter ref="Z1:AC300" xr:uid="{00000000-0009-0000-0100-000005000000}">
    <filterColumn colId="0" hiddenButton="1"/>
    <filterColumn colId="1" hiddenButton="1"/>
    <filterColumn colId="3" hiddenButton="1"/>
  </autoFilter>
  <tableColumns count="4">
    <tableColumn id="4" xr3:uid="{00000000-0010-0000-0100-000004000000}" name="0" dataDxfId="45">
      <calculatedColumnFormula>IF(AA2 = AA1, Z1, Z1 + 1)</calculatedColumnFormula>
    </tableColumn>
    <tableColumn id="2" xr3:uid="{00000000-0010-0000-0100-000002000000}" name="Component" dataDxfId="44">
      <calculatedColumnFormula>IFERROR(Recipes2[[#This Row],[Selected Component]], "")</calculatedColumnFormula>
    </tableColumn>
    <tableColumn id="6" xr3:uid="{00000000-0010-0000-0100-000006000000}" name="Item" dataDxfId="43">
      <calculatedColumnFormula>IFERROR(Recipes2[[#This Row],[Selected Name]], "")</calculatedColumnFormula>
    </tableColumn>
    <tableColumn id="3" xr3:uid="{00000000-0010-0000-0100-000003000000}" name="Quantity" dataDxfId="42">
      <calculatedColumnFormula>IFERROR(Recipes2[[#This Row],[Selected Quantity]], "")</calculatedColumnFormula>
    </tableColumn>
  </tableColumns>
  <tableStyleInfo name="TableStyleLight1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ComponentRecipes" displayName="ComponentRecipes" ref="U1:X300" totalsRowShown="0" headerRowDxfId="41">
  <autoFilter ref="U1:X300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4" xr3:uid="{00000000-0010-0000-0200-000004000000}" name="0" dataDxfId="40">
      <calculatedColumnFormula>IF(V2 = V1, U1, U1 + 1)</calculatedColumnFormula>
    </tableColumn>
    <tableColumn id="1" xr3:uid="{00000000-0010-0000-0200-000001000000}" name="Item" dataDxfId="39">
      <calculatedColumnFormula>IFERROR(Recipes[[#This Row],[Selected Name]], "")</calculatedColumnFormula>
    </tableColumn>
    <tableColumn id="2" xr3:uid="{00000000-0010-0000-0200-000002000000}" name="Component" dataDxfId="38">
      <calculatedColumnFormula>IFERROR(Recipes[[#This Row],[Selected Component]], "")</calculatedColumnFormula>
    </tableColumn>
    <tableColumn id="3" xr3:uid="{00000000-0010-0000-0200-000003000000}" name="Quantity" dataDxfId="37">
      <calculatedColumnFormula>IFERROR(Recipes[[#This Row],[Selected Quantity]], "")</calculatedColumnFormula>
    </tableColumn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Items" displayName="Items" ref="A1:P134" totalsRowShown="0" headerRowDxfId="35">
  <autoFilter ref="A1:P13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sortState ref="A2:P134">
    <sortCondition ref="A2:A134"/>
  </sortState>
  <tableColumns count="16">
    <tableColumn id="1" xr3:uid="{00000000-0010-0000-0300-000001000000}" name="Name"/>
    <tableColumn id="2" xr3:uid="{00000000-0010-0000-0300-000002000000}" name="Base Cycle Time"/>
    <tableColumn id="15" xr3:uid="{00000000-0010-0000-0300-00000F000000}" name="Cycle Time for One" dataDxfId="34">
      <calculatedColumnFormula>MAX(Items[[#This Row],[Base Cycle Time]] / Items[[#This Row],[Speed]], MinInsertionTime) / Items[[#This Row],[Quantity Per Cycle]] / Items[[#This Row],[Bonus]]</calculatedColumnFormula>
    </tableColumn>
    <tableColumn id="14" xr3:uid="{00000000-0010-0000-0300-00000E000000}" name="Quantity Per Cycle" dataDxfId="33"/>
    <tableColumn id="10" xr3:uid="{00000000-0010-0000-0300-00000A000000}" name="Producer Type"/>
    <tableColumn id="12" xr3:uid="{00000000-0010-0000-0300-00000C000000}" name="Speed" dataDxfId="32">
      <calculatedColumnFormula>INDEX(CraftingTypes[Speed], MATCH(Items[[#This Row],[Producer Type]], CraftingTypes[Producer Type], 0))</calculatedColumnFormula>
    </tableColumn>
    <tableColumn id="16" xr3:uid="{00000000-0010-0000-0300-000010000000}" name="Bonus" dataDxfId="31">
      <calculatedColumnFormula>INDEX(CraftingTypes[Bonus], MATCH(Items[[#This Row],[Producer Type]], CraftingTypes[Producer Type], 0)) + 1</calculatedColumnFormula>
    </tableColumn>
    <tableColumn id="3" xr3:uid="{00000000-0010-0000-0300-000003000000}" name="Per Second" dataDxfId="30">
      <calculatedColumnFormula>1 / Items[[#This Row],[Cycle Time for One]]</calculatedColumnFormula>
    </tableColumn>
    <tableColumn id="11" xr3:uid="{00000000-0010-0000-0300-00000B000000}" name="Include" dataDxfId="29">
      <calculatedColumnFormula>IFERROR(OR(Items[[#This Row],[Name]] = SelectedName, INDEX(CraftingTypes[Include], MATCH(Items[[#This Row],[Producer Type]], CraftingTypes[Producer Type], 0))), FALSE)</calculatedColumnFormula>
    </tableColumn>
    <tableColumn id="4" xr3:uid="{00000000-0010-0000-0300-000004000000}" name="Selected Count" dataDxfId="28">
      <calculatedColumnFormula>IF(Items[[#This Row],[Name]] = SelectedName, 1, IF(NOT(Items[[#This Row],[Include]]), 0, SUMIFS(RecipeTotals.Quantity, RecipeTotals.Name, SelectedName, RecipeTotals.Component, Items[[#This Row],[Name]])))</calculatedColumnFormula>
    </tableColumn>
    <tableColumn id="5" xr3:uid="{00000000-0010-0000-0300-000005000000}" name="Selected Per Second" dataDxfId="27">
      <calculatedColumnFormula>IFERROR(Items[[#This Row],[Selected Count]] / CycleTime.Actual, "")</calculatedColumnFormula>
    </tableColumn>
    <tableColumn id="6" xr3:uid="{00000000-0010-0000-0300-000006000000}" name="Producers For 1" dataDxfId="26">
      <calculatedColumnFormula>IFERROR(Items[[#This Row],[Selected Per Second]] / Items[[#This Row],[Per Second]], "")</calculatedColumnFormula>
    </tableColumn>
    <tableColumn id="13" xr3:uid="{00000000-0010-0000-0300-00000D000000}" name="Fractional Producers for Selected Count" dataDxfId="25">
      <calculatedColumnFormula>IFERROR(Items[[#This Row],[Selected Per Second]] / Items[[#This Row],[Per Second]], "")</calculatedColumnFormula>
    </tableColumn>
    <tableColumn id="7" xr3:uid="{00000000-0010-0000-0300-000007000000}" name="Producers For Selected Count" dataDxfId="24">
      <calculatedColumnFormula>IFERROR(CEILING(Items[[#This Row],[Fractional Producers for Selected Count]], 1), 0)</calculatedColumnFormula>
    </tableColumn>
    <tableColumn id="8" xr3:uid="{00000000-0010-0000-0300-000008000000}" name="Include Row Index" dataDxfId="23">
      <calculatedColumnFormula>IF(AND(Items[[#This Row],[Producers For Selected Count]] &gt; 0, Items[[#This Row],[Include]]), ROW() - ROW(Items[#Headers]), "")</calculatedColumnFormula>
    </tableColumn>
    <tableColumn id="9" xr3:uid="{00000000-0010-0000-0300-000009000000}" name="Condensed" dataDxfId="22">
      <calculatedColumnFormula>IFERROR(SMALL(Items[Include Row Index], ROW() - ROW(Items[#Headers])), "")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ecipes" displayName="Recipes" ref="R1:Y324" totalsRowShown="0" headerRowDxfId="21">
  <autoFilter ref="R1:Y3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R2:Y324">
    <sortCondition ref="R2:R324"/>
    <sortCondition ref="S2:S324"/>
  </sortState>
  <tableColumns count="8">
    <tableColumn id="1" xr3:uid="{00000000-0010-0000-0400-000001000000}" name="Name"/>
    <tableColumn id="2" xr3:uid="{00000000-0010-0000-0400-000002000000}" name="Component"/>
    <tableColumn id="3" xr3:uid="{00000000-0010-0000-0400-000003000000}" name="Quantity"/>
    <tableColumn id="4" xr3:uid="{00000000-0010-0000-0400-000004000000}" name="Selected" dataDxfId="20">
      <calculatedColumnFormula>IFERROR(IF(INDEX(Items[Selected Count], MATCH(Recipes[[#This Row],[Name]], Items[Name], 0)) &gt; 0, ROW() - ROW(Recipes[#Headers]), ""), "")</calculatedColumnFormula>
    </tableColumn>
    <tableColumn id="5" xr3:uid="{00000000-0010-0000-0400-000005000000}" name="Selected Sorted" dataDxfId="19">
      <calculatedColumnFormula>IFERROR(SMALL(Recipes[Selected], ROW() - ROW(Recipes[#Headers])), "")</calculatedColumnFormula>
    </tableColumn>
    <tableColumn id="6" xr3:uid="{00000000-0010-0000-0400-000006000000}" name="Selected Name" dataDxfId="18">
      <calculatedColumnFormula>IFERROR(INDEX(Recipes[Name], Recipes[[#This Row],[Selected Sorted]]), "")</calculatedColumnFormula>
    </tableColumn>
    <tableColumn id="7" xr3:uid="{00000000-0010-0000-0400-000007000000}" name="Selected Component" dataDxfId="17">
      <calculatedColumnFormula>IFERROR(INDEX(Recipes[Component], Recipes[[#This Row],[Selected Sorted]]), "")</calculatedColumnFormula>
    </tableColumn>
    <tableColumn id="8" xr3:uid="{00000000-0010-0000-0400-000008000000}" name="Selected Quantity" dataDxfId="16">
      <calculatedColumnFormula>IFERROR(INDEX(Recipes[Quantity], Recipes[[#This Row],[Selected Sorted]]), "")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CraftingSpeeds" displayName="CraftingSpeeds" ref="AJ1:AK14" totalsRowShown="0" headerRowDxfId="15">
  <autoFilter ref="AJ1:AK14" xr:uid="{00000000-0009-0000-0100-000003000000}">
    <filterColumn colId="0" hiddenButton="1"/>
    <filterColumn colId="1" hiddenButton="1"/>
  </autoFilter>
  <tableColumns count="2">
    <tableColumn id="1" xr3:uid="{00000000-0010-0000-0500-000001000000}" name="Producer"/>
    <tableColumn id="2" xr3:uid="{00000000-0010-0000-0500-000002000000}" name="Base Speed" dataDxfId="14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raftingTypes" displayName="CraftingTypes" ref="AM1:AR9" totalsRowShown="0" headerRowDxfId="13" dataDxfId="12">
  <autoFilter ref="AM1:AR9" xr:uid="{00000000-0009-0000-0100-000007000000}">
    <filterColumn colId="0" hiddenButton="1"/>
    <filterColumn colId="1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Producer Type" dataDxfId="11"/>
    <tableColumn id="2" xr3:uid="{00000000-0010-0000-0600-000002000000}" name="Producer" dataDxfId="10"/>
    <tableColumn id="5" xr3:uid="{00000000-0010-0000-0600-000005000000}" name="Include" dataDxfId="9"/>
    <tableColumn id="6" xr3:uid="{00000000-0010-0000-0600-000006000000}" name="Override Speed" dataDxfId="8"/>
    <tableColumn id="3" xr3:uid="{00000000-0010-0000-0600-000003000000}" name="Speed" dataDxfId="7">
      <calculatedColumnFormula>IF(CraftingTypes[[#This Row],[Override Speed]] &gt; 0, CraftingTypes[[#This Row],[Override Speed]], INDEX(CraftingSpeeds[Base Speed], MATCH(CraftingTypes[[#This Row],[Producer]], CraftingSpeeds[Producer], 0)))</calculatedColumnFormula>
    </tableColumn>
    <tableColumn id="4" xr3:uid="{00000000-0010-0000-0600-000004000000}" name="Bonus" dataDxfId="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ecipes2" displayName="Recipes2" ref="AA1:AH324" totalsRowShown="0" headerRowDxfId="5">
  <autoFilter ref="AA1:AH32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AA2:AH324">
    <sortCondition ref="AB2:AB324"/>
    <sortCondition ref="AA2:AA324"/>
  </sortState>
  <tableColumns count="8">
    <tableColumn id="1" xr3:uid="{00000000-0010-0000-0700-000001000000}" name="Name"/>
    <tableColumn id="2" xr3:uid="{00000000-0010-0000-0700-000002000000}" name="Component"/>
    <tableColumn id="3" xr3:uid="{00000000-0010-0000-0700-000003000000}" name="Quantity"/>
    <tableColumn id="4" xr3:uid="{00000000-0010-0000-0700-000004000000}" name="Selected" dataDxfId="4">
      <calculatedColumnFormula>IFERROR(IF(INDEX(Items[Selected Count], MATCH(Recipes2[[#This Row],[Name]], Items[Name], 0)) &gt; 0, ROW() - ROW(Recipes2[#Headers]), ""), "")</calculatedColumnFormula>
    </tableColumn>
    <tableColumn id="5" xr3:uid="{00000000-0010-0000-0700-000005000000}" name="Selected Sorted" dataDxfId="3">
      <calculatedColumnFormula>IFERROR(SMALL(Recipes2[Selected], ROW() - ROW(Recipes2[#Headers])), "")</calculatedColumnFormula>
    </tableColumn>
    <tableColumn id="6" xr3:uid="{00000000-0010-0000-0700-000006000000}" name="Selected Name" dataDxfId="2">
      <calculatedColumnFormula>IFERROR(INDEX(Recipes2[Name], Recipes2[[#This Row],[Selected Sorted]]), "")</calculatedColumnFormula>
    </tableColumn>
    <tableColumn id="7" xr3:uid="{00000000-0010-0000-0700-000007000000}" name="Selected Component" dataDxfId="1">
      <calculatedColumnFormula>IFERROR(INDEX(Recipes2[Component], Recipes2[[#This Row],[Selected Sorted]]), "")</calculatedColumnFormula>
    </tableColumn>
    <tableColumn id="8" xr3:uid="{00000000-0010-0000-0700-000008000000}" name="Selected Quantity" dataDxfId="0">
      <calculatedColumnFormula>IFERROR(INDEX(Recipes2[Quantity], Recipes2[[#This Row],[Selected Sorted]]), "")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cSheet"/>
  <dimension ref="A1:AC300"/>
  <sheetViews>
    <sheetView showGridLines="0" tabSelected="1" zoomScale="90" zoomScaleNormal="90" workbookViewId="0">
      <selection activeCell="B28" sqref="B28"/>
    </sheetView>
  </sheetViews>
  <sheetFormatPr defaultRowHeight="15" x14ac:dyDescent="0.25"/>
  <cols>
    <col min="1" max="1" width="1.42578125" style="3" customWidth="1"/>
    <col min="2" max="2" width="14.5703125" style="20" customWidth="1"/>
    <col min="3" max="3" width="11.7109375" style="20" customWidth="1"/>
    <col min="4" max="4" width="11.7109375" style="4" customWidth="1"/>
    <col min="5" max="5" width="11.5703125" style="21" hidden="1" customWidth="1"/>
    <col min="6" max="6" width="2.140625" style="6" customWidth="1"/>
    <col min="7" max="7" width="26.140625" style="3" customWidth="1"/>
    <col min="8" max="8" width="12.140625" style="7" customWidth="1"/>
    <col min="9" max="9" width="12.140625" style="7" hidden="1" customWidth="1"/>
    <col min="10" max="10" width="11.140625" style="5" customWidth="1"/>
    <col min="11" max="12" width="11.140625" style="5" hidden="1" customWidth="1"/>
    <col min="13" max="13" width="11.140625" style="4" hidden="1" customWidth="1"/>
    <col min="14" max="14" width="11.85546875" style="58" customWidth="1"/>
    <col min="15" max="15" width="11.85546875" style="5" customWidth="1"/>
    <col min="16" max="16" width="11.140625" style="5" customWidth="1"/>
    <col min="17" max="17" width="11.140625" style="5" hidden="1" customWidth="1"/>
    <col min="18" max="18" width="12.7109375" style="5" hidden="1" customWidth="1"/>
    <col min="19" max="19" width="11.140625" style="5" customWidth="1" collapsed="1"/>
    <col min="20" max="20" width="2.140625" style="3" customWidth="1"/>
    <col min="21" max="21" width="2.140625" style="3" hidden="1" customWidth="1"/>
    <col min="22" max="23" width="21" style="51" customWidth="1"/>
    <col min="24" max="24" width="11" style="52" customWidth="1"/>
    <col min="25" max="25" width="2.140625" style="51" customWidth="1"/>
    <col min="26" max="26" width="2.140625" style="51" hidden="1" customWidth="1"/>
    <col min="27" max="28" width="21" style="51" customWidth="1"/>
    <col min="29" max="29" width="11" style="52" customWidth="1"/>
    <col min="30" max="30" width="2.140625" style="3" customWidth="1"/>
    <col min="31" max="16384" width="9.140625" style="3"/>
  </cols>
  <sheetData>
    <row r="1" spans="1:29" ht="30.75" thickBot="1" x14ac:dyDescent="0.3">
      <c r="A1" s="56"/>
      <c r="B1" s="69" t="s">
        <v>169</v>
      </c>
      <c r="C1" s="69"/>
      <c r="D1" s="69"/>
      <c r="E1" s="22" t="s">
        <v>182</v>
      </c>
      <c r="G1" s="14" t="s">
        <v>15</v>
      </c>
      <c r="H1" s="18" t="s">
        <v>21</v>
      </c>
      <c r="I1" s="18" t="s">
        <v>188</v>
      </c>
      <c r="J1" s="12" t="s">
        <v>183</v>
      </c>
      <c r="K1" s="12" t="s">
        <v>190</v>
      </c>
      <c r="L1" s="12" t="s">
        <v>170</v>
      </c>
      <c r="M1" s="13" t="s">
        <v>58</v>
      </c>
      <c r="N1" s="57" t="s">
        <v>204</v>
      </c>
      <c r="O1" s="12" t="s">
        <v>205</v>
      </c>
      <c r="P1" s="15" t="s">
        <v>196</v>
      </c>
      <c r="Q1" s="12" t="s">
        <v>172</v>
      </c>
      <c r="R1" s="12" t="s">
        <v>171</v>
      </c>
      <c r="S1" s="13" t="s">
        <v>109</v>
      </c>
      <c r="T1" s="11"/>
      <c r="U1" s="11" t="s">
        <v>77</v>
      </c>
      <c r="V1" s="42" t="s">
        <v>169</v>
      </c>
      <c r="W1" s="42" t="s">
        <v>15</v>
      </c>
      <c r="X1" s="48" t="s">
        <v>16</v>
      </c>
      <c r="Y1" s="42"/>
      <c r="Z1" s="42" t="s">
        <v>77</v>
      </c>
      <c r="AA1" s="54" t="s">
        <v>15</v>
      </c>
      <c r="AB1" s="54" t="s">
        <v>169</v>
      </c>
      <c r="AC1" s="55" t="s">
        <v>16</v>
      </c>
    </row>
    <row r="2" spans="1:29" ht="15.75" thickTop="1" x14ac:dyDescent="0.25">
      <c r="B2" s="85" t="s">
        <v>5</v>
      </c>
      <c r="C2" s="86"/>
      <c r="D2" s="76"/>
      <c r="E2" s="21">
        <v>1</v>
      </c>
      <c r="G2" s="3" t="str">
        <f>IFERROR(INDEX(Items[Name], Items[[#This Row],[Condensed]]), "")</f>
        <v>Copper Cable</v>
      </c>
      <c r="H2" s="7">
        <f>IFERROR(INDEX(Items[Producers For Selected Count], Items[[#This Row],[Condensed]]), "")</f>
        <v>2</v>
      </c>
      <c r="I2" s="7">
        <f>IFERROR(INDEX(Items[Fractional Producers for Selected Count], Items[[#This Row],[Condensed]]), "")</f>
        <v>1.5</v>
      </c>
      <c r="J2" s="5">
        <f>IFERROR(INDEX(Items[Base Cycle Time], MATCH(ThingsNeeded[[#This Row],[Component]], Items[Name], 0)), "")</f>
        <v>0.5</v>
      </c>
      <c r="K2" s="5">
        <f>IFERROR(ROUND(1 / ThingsNeeded[[#This Row],[Produced Per Second]], 2), "")</f>
        <v>0.2</v>
      </c>
      <c r="L2" s="10">
        <f>IFERROR(INDEX(Items[Per Second], MATCH(ThingsNeeded[[#This Row],[Component]], Items[Name], 0)), "")</f>
        <v>5</v>
      </c>
      <c r="M2" s="4" t="str">
        <f>IFERROR(LEFT(INDEX(Items[Producer Type], Items[[#This Row],[Condensed]]), 1), "")</f>
        <v>A</v>
      </c>
      <c r="N2" s="58">
        <f>IFERROR(CEILING(INDEX(Items[Selected Per Second], Items[[#This Row],[Condensed]]), 0.01), "")</f>
        <v>7.5</v>
      </c>
      <c r="O2" s="5">
        <f>IFERROR(ROUND(ThingsNeeded[[#This Row],[Producers]] / ThingsNeeded[[#This Row],[Fractional Producers]] * ThingsNeeded[[#This Row],[Needed Per Second]], 2), "")</f>
        <v>10</v>
      </c>
      <c r="P2" s="19">
        <f>IFERROR(IF(ThingsNeeded[[#This Row],[Used]], 0, ROUND(ThingsNeeded[[#This Row],[Created Per Second]] / ThingsNeeded[[#This Row],[Needed Per Second]] - 1, 2)), "")</f>
        <v>0.33</v>
      </c>
      <c r="Q2" s="17">
        <f>COUNTIF(ComponentRecipes2[Component], ThingsNeeded[[#This Row],[Component]])</f>
        <v>1</v>
      </c>
      <c r="R2" s="5">
        <f>IF(ThingsNeeded[[#This Row],[Component]] = "", "", COUNTIF(Recipes[Name], ThingsNeeded[[#This Row],[Component]]))</f>
        <v>1</v>
      </c>
      <c r="S2" s="16" t="b">
        <v>0</v>
      </c>
      <c r="U2" s="6">
        <f t="shared" ref="U2:U65" si="0">IF(V2 = V1, U1, U1 + 1)</f>
        <v>1</v>
      </c>
      <c r="V2" s="51" t="str">
        <f>IFERROR(Recipes[[#This Row],[Selected Name]], "")</f>
        <v>Copper Cable</v>
      </c>
      <c r="W2" s="51" t="str">
        <f>IFERROR(Recipes[[#This Row],[Selected Component]], "")</f>
        <v>Copper Plate</v>
      </c>
      <c r="X2" s="52">
        <f>IFERROR(Recipes[[#This Row],[Selected Quantity]], "")</f>
        <v>1</v>
      </c>
      <c r="Z2" s="53">
        <f t="shared" ref="Z2:Z65" si="1">IF(AA2 = AA1, Z1, Z1 + 1)</f>
        <v>1</v>
      </c>
      <c r="AA2" s="51" t="str">
        <f>IFERROR(Recipes2[[#This Row],[Selected Component]], "")</f>
        <v>Copper Cable</v>
      </c>
      <c r="AB2" s="51" t="str">
        <f>IFERROR(Recipes2[[#This Row],[Selected Name]], "")</f>
        <v>Electronic Circuit</v>
      </c>
      <c r="AC2" s="52">
        <f>IFERROR(Recipes2[[#This Row],[Selected Quantity]], "")</f>
        <v>3</v>
      </c>
    </row>
    <row r="3" spans="1:29" x14ac:dyDescent="0.25">
      <c r="B3" s="24"/>
      <c r="C3" s="25"/>
      <c r="D3" s="25"/>
      <c r="E3" s="21">
        <v>0.4</v>
      </c>
      <c r="G3" s="3" t="str">
        <f>IFERROR(INDEX(Items[Name], Items[[#This Row],[Condensed]]), "")</f>
        <v>Copper Ore</v>
      </c>
      <c r="H3" s="7">
        <f>IFERROR(INDEX(Items[Producers For Selected Count], Items[[#This Row],[Condensed]]), "")</f>
        <v>4</v>
      </c>
      <c r="I3" s="7">
        <f>IFERROR(INDEX(Items[Fractional Producers for Selected Count], Items[[#This Row],[Condensed]]), "")</f>
        <v>3.75</v>
      </c>
      <c r="J3" s="5">
        <f>IFERROR(INDEX(Items[Base Cycle Time], MATCH(ThingsNeeded[[#This Row],[Component]], Items[Name], 0)), "")</f>
        <v>0.52500000000000002</v>
      </c>
      <c r="K3" s="5">
        <f>IFERROR(ROUND(1 / ThingsNeeded[[#This Row],[Produced Per Second]], 2), "")</f>
        <v>1</v>
      </c>
      <c r="L3" s="10">
        <f>IFERROR(INDEX(Items[Per Second], MATCH(ThingsNeeded[[#This Row],[Component]], Items[Name], 0)), "")</f>
        <v>1</v>
      </c>
      <c r="M3" s="4" t="str">
        <f>IFERROR(LEFT(INDEX(Items[Producer Type], Items[[#This Row],[Condensed]]), 1), "")</f>
        <v>M</v>
      </c>
      <c r="N3" s="58">
        <f>IFERROR(CEILING(INDEX(Items[Selected Per Second], Items[[#This Row],[Condensed]]), 0.01), "")</f>
        <v>3.75</v>
      </c>
      <c r="O3" s="5">
        <f>IFERROR(ROUND(ThingsNeeded[[#This Row],[Producers]] / ThingsNeeded[[#This Row],[Fractional Producers]] * ThingsNeeded[[#This Row],[Needed Per Second]], 2), "")</f>
        <v>4</v>
      </c>
      <c r="P3" s="19">
        <f>IFERROR(IF(ThingsNeeded[[#This Row],[Used]], 0, ROUND(ThingsNeeded[[#This Row],[Created Per Second]] / ThingsNeeded[[#This Row],[Needed Per Second]] - 1, 2)), "")</f>
        <v>7.0000000000000007E-2</v>
      </c>
      <c r="Q3" s="17">
        <f>COUNTIF(ComponentRecipes2[Component], ThingsNeeded[[#This Row],[Component]])</f>
        <v>1</v>
      </c>
      <c r="R3" s="5">
        <f>IF(ThingsNeeded[[#This Row],[Component]] = "", "", COUNTIF(Recipes[Name], ThingsNeeded[[#This Row],[Component]]))</f>
        <v>0</v>
      </c>
      <c r="S3" s="16" t="b">
        <v>0</v>
      </c>
      <c r="U3" s="6">
        <f t="shared" si="0"/>
        <v>2</v>
      </c>
      <c r="V3" s="51" t="str">
        <f>IFERROR(Recipes[[#This Row],[Selected Name]], "")</f>
        <v>Copper Plate</v>
      </c>
      <c r="W3" s="51" t="str">
        <f>IFERROR(Recipes[[#This Row],[Selected Component]], "")</f>
        <v>Copper Ore</v>
      </c>
      <c r="X3" s="52">
        <f>IFERROR(Recipes[[#This Row],[Selected Quantity]], "")</f>
        <v>1</v>
      </c>
      <c r="Z3" s="53">
        <f t="shared" si="1"/>
        <v>2</v>
      </c>
      <c r="AA3" s="51" t="str">
        <f>IFERROR(Recipes2[[#This Row],[Selected Component]], "")</f>
        <v>Copper Ore</v>
      </c>
      <c r="AB3" s="51" t="str">
        <f>IFERROR(Recipes2[[#This Row],[Selected Name]], "")</f>
        <v>Copper Plate</v>
      </c>
      <c r="AC3" s="52">
        <f>IFERROR(Recipes2[[#This Row],[Selected Quantity]], "")</f>
        <v>1</v>
      </c>
    </row>
    <row r="4" spans="1:29" x14ac:dyDescent="0.25">
      <c r="B4" s="69" t="s">
        <v>192</v>
      </c>
      <c r="C4" s="69"/>
      <c r="D4" s="69"/>
      <c r="E4" s="21">
        <v>2.5</v>
      </c>
      <c r="G4" s="3" t="str">
        <f>IFERROR(INDEX(Items[Name], Items[[#This Row],[Condensed]]), "")</f>
        <v>Copper Plate</v>
      </c>
      <c r="H4" s="7">
        <f>IFERROR(INDEX(Items[Producers For Selected Count], Items[[#This Row],[Condensed]]), "")</f>
        <v>3</v>
      </c>
      <c r="I4" s="7">
        <f>IFERROR(INDEX(Items[Fractional Producers for Selected Count], Items[[#This Row],[Condensed]]), "")</f>
        <v>2.1875</v>
      </c>
      <c r="J4" s="5">
        <f>IFERROR(INDEX(Items[Base Cycle Time], MATCH(ThingsNeeded[[#This Row],[Component]], Items[Name], 0)), "")</f>
        <v>3.5</v>
      </c>
      <c r="K4" s="5">
        <f>IFERROR(ROUND(1 / ThingsNeeded[[#This Row],[Produced Per Second]], 2), "")</f>
        <v>0.57999999999999996</v>
      </c>
      <c r="L4" s="10">
        <f>IFERROR(INDEX(Items[Per Second], MATCH(ThingsNeeded[[#This Row],[Component]], Items[Name], 0)), "")</f>
        <v>1.7142857142857142</v>
      </c>
      <c r="M4" s="4" t="str">
        <f>IFERROR(LEFT(INDEX(Items[Producer Type], Items[[#This Row],[Condensed]]), 1), "")</f>
        <v>F</v>
      </c>
      <c r="N4" s="58">
        <f>IFERROR(CEILING(INDEX(Items[Selected Per Second], Items[[#This Row],[Condensed]]), 0.01), "")</f>
        <v>3.75</v>
      </c>
      <c r="O4" s="5">
        <f>IFERROR(ROUND(ThingsNeeded[[#This Row],[Producers]] / ThingsNeeded[[#This Row],[Fractional Producers]] * ThingsNeeded[[#This Row],[Needed Per Second]], 2), "")</f>
        <v>5.14</v>
      </c>
      <c r="P4" s="19">
        <f>IFERROR(IF(ThingsNeeded[[#This Row],[Used]], 0, ROUND(ThingsNeeded[[#This Row],[Created Per Second]] / ThingsNeeded[[#This Row],[Needed Per Second]] - 1, 2)), "")</f>
        <v>0.37</v>
      </c>
      <c r="Q4" s="17">
        <f>COUNTIF(ComponentRecipes2[Component], ThingsNeeded[[#This Row],[Component]])</f>
        <v>1</v>
      </c>
      <c r="R4" s="5">
        <f>IF(ThingsNeeded[[#This Row],[Component]] = "", "", COUNTIF(Recipes[Name], ThingsNeeded[[#This Row],[Component]]))</f>
        <v>1</v>
      </c>
      <c r="S4" s="16" t="b">
        <v>0</v>
      </c>
      <c r="U4" s="6">
        <f t="shared" si="0"/>
        <v>3</v>
      </c>
      <c r="V4" s="51" t="str">
        <f>IFERROR(Recipes[[#This Row],[Selected Name]], "")</f>
        <v>Electronic Circuit</v>
      </c>
      <c r="W4" s="51" t="str">
        <f>IFERROR(Recipes[[#This Row],[Selected Component]], "")</f>
        <v>Copper Cable</v>
      </c>
      <c r="X4" s="52">
        <f>IFERROR(Recipes[[#This Row],[Selected Quantity]], "")</f>
        <v>3</v>
      </c>
      <c r="Z4" s="53">
        <f t="shared" si="1"/>
        <v>3</v>
      </c>
      <c r="AA4" s="51" t="str">
        <f>IFERROR(Recipes2[[#This Row],[Selected Component]], "")</f>
        <v>Copper Plate</v>
      </c>
      <c r="AB4" s="51" t="str">
        <f>IFERROR(Recipes2[[#This Row],[Selected Name]], "")</f>
        <v>Copper Cable</v>
      </c>
      <c r="AC4" s="52">
        <f>IFERROR(Recipes2[[#This Row],[Selected Quantity]], "")</f>
        <v>1</v>
      </c>
    </row>
    <row r="5" spans="1:29" x14ac:dyDescent="0.25">
      <c r="B5" s="68" t="str">
        <f>IF(E7 = "None", "Producer", E7) &amp; " Quantity"</f>
        <v>Assembly Machine Quantity</v>
      </c>
      <c r="C5" s="68"/>
      <c r="D5" s="59">
        <v>1</v>
      </c>
      <c r="E5" s="21">
        <v>150</v>
      </c>
      <c r="G5" s="3" t="str">
        <f>IFERROR(INDEX(Items[Name], Items[[#This Row],[Condensed]]), "")</f>
        <v>Electronic Circuit</v>
      </c>
      <c r="H5" s="7">
        <f>IFERROR(INDEX(Items[Producers For Selected Count], Items[[#This Row],[Condensed]]), "")</f>
        <v>1</v>
      </c>
      <c r="I5" s="7">
        <f>IFERROR(INDEX(Items[Fractional Producers for Selected Count], Items[[#This Row],[Condensed]]), "")</f>
        <v>1</v>
      </c>
      <c r="J5" s="5">
        <f>IFERROR(INDEX(Items[Base Cycle Time], MATCH(ThingsNeeded[[#This Row],[Component]], Items[Name], 0)), "")</f>
        <v>0.5</v>
      </c>
      <c r="K5" s="5">
        <f>IFERROR(ROUND(1 / ThingsNeeded[[#This Row],[Produced Per Second]], 2), "")</f>
        <v>0.4</v>
      </c>
      <c r="L5" s="10">
        <f>IFERROR(INDEX(Items[Per Second], MATCH(ThingsNeeded[[#This Row],[Component]], Items[Name], 0)), "")</f>
        <v>2.5</v>
      </c>
      <c r="M5" s="4" t="str">
        <f>IFERROR(LEFT(INDEX(Items[Producer Type], Items[[#This Row],[Condensed]]), 1), "")</f>
        <v>A</v>
      </c>
      <c r="N5" s="58">
        <f>IFERROR(CEILING(INDEX(Items[Selected Per Second], Items[[#This Row],[Condensed]]), 0.01), "")</f>
        <v>2.5</v>
      </c>
      <c r="O5" s="5">
        <f>IFERROR(ROUND(ThingsNeeded[[#This Row],[Producers]] / ThingsNeeded[[#This Row],[Fractional Producers]] * ThingsNeeded[[#This Row],[Needed Per Second]], 2), "")</f>
        <v>2.5</v>
      </c>
      <c r="P5" s="19">
        <f>IFERROR(IF(ThingsNeeded[[#This Row],[Used]], 0, ROUND(ThingsNeeded[[#This Row],[Created Per Second]] / ThingsNeeded[[#This Row],[Needed Per Second]] - 1, 2)), "")</f>
        <v>0</v>
      </c>
      <c r="Q5" s="17">
        <f>COUNTIF(ComponentRecipes2[Component], ThingsNeeded[[#This Row],[Component]])</f>
        <v>0</v>
      </c>
      <c r="R5" s="5">
        <f>IF(ThingsNeeded[[#This Row],[Component]] = "", "", COUNTIF(Recipes[Name], ThingsNeeded[[#This Row],[Component]]))</f>
        <v>2</v>
      </c>
      <c r="S5" s="16" t="b">
        <v>0</v>
      </c>
      <c r="U5" s="6">
        <f t="shared" si="0"/>
        <v>3</v>
      </c>
      <c r="V5" s="51" t="str">
        <f>IFERROR(Recipes[[#This Row],[Selected Name]], "")</f>
        <v>Electronic Circuit</v>
      </c>
      <c r="W5" s="51" t="str">
        <f>IFERROR(Recipes[[#This Row],[Selected Component]], "")</f>
        <v>Iron Plate</v>
      </c>
      <c r="X5" s="52">
        <f>IFERROR(Recipes[[#This Row],[Selected Quantity]], "")</f>
        <v>1</v>
      </c>
      <c r="Z5" s="53">
        <f t="shared" si="1"/>
        <v>4</v>
      </c>
      <c r="AA5" s="51" t="str">
        <f>IFERROR(Recipes2[[#This Row],[Selected Component]], "")</f>
        <v>Iron Ore</v>
      </c>
      <c r="AB5" s="51" t="str">
        <f>IFERROR(Recipes2[[#This Row],[Selected Name]], "")</f>
        <v>Iron Plate</v>
      </c>
      <c r="AC5" s="52">
        <f>IFERROR(Recipes2[[#This Row],[Selected Quantity]], "")</f>
        <v>1</v>
      </c>
    </row>
    <row r="6" spans="1:29" x14ac:dyDescent="0.25">
      <c r="B6" s="67" t="s">
        <v>202</v>
      </c>
      <c r="C6" s="67"/>
      <c r="D6" s="44">
        <v>0.4</v>
      </c>
      <c r="E6" s="21">
        <f>MATCH(SelectedName, Items[Name], 0)</f>
        <v>32</v>
      </c>
      <c r="G6" s="3" t="str">
        <f>IFERROR(INDEX(Items[Name], Items[[#This Row],[Condensed]]), "")</f>
        <v>Iron Ore</v>
      </c>
      <c r="H6" s="7">
        <f>IFERROR(INDEX(Items[Producers For Selected Count], Items[[#This Row],[Condensed]]), "")</f>
        <v>3</v>
      </c>
      <c r="I6" s="7">
        <f>IFERROR(INDEX(Items[Fractional Producers for Selected Count], Items[[#This Row],[Condensed]]), "")</f>
        <v>2.5</v>
      </c>
      <c r="J6" s="5">
        <f>IFERROR(INDEX(Items[Base Cycle Time], MATCH(ThingsNeeded[[#This Row],[Component]], Items[Name], 0)), "")</f>
        <v>0.52500000000000002</v>
      </c>
      <c r="K6" s="5">
        <f>IFERROR(ROUND(1 / ThingsNeeded[[#This Row],[Produced Per Second]], 2), "")</f>
        <v>1</v>
      </c>
      <c r="L6" s="10">
        <f>IFERROR(INDEX(Items[Per Second], MATCH(ThingsNeeded[[#This Row],[Component]], Items[Name], 0)), "")</f>
        <v>1</v>
      </c>
      <c r="M6" s="4" t="str">
        <f>IFERROR(LEFT(INDEX(Items[Producer Type], Items[[#This Row],[Condensed]]), 1), "")</f>
        <v>M</v>
      </c>
      <c r="N6" s="58">
        <f>IFERROR(CEILING(INDEX(Items[Selected Per Second], Items[[#This Row],[Condensed]]), 0.01), "")</f>
        <v>2.5</v>
      </c>
      <c r="O6" s="5">
        <f>IFERROR(ROUND(ThingsNeeded[[#This Row],[Producers]] / ThingsNeeded[[#This Row],[Fractional Producers]] * ThingsNeeded[[#This Row],[Needed Per Second]], 2), "")</f>
        <v>3</v>
      </c>
      <c r="P6" s="19">
        <f>IFERROR(IF(ThingsNeeded[[#This Row],[Used]], 0, ROUND(ThingsNeeded[[#This Row],[Created Per Second]] / ThingsNeeded[[#This Row],[Needed Per Second]] - 1, 2)), "")</f>
        <v>0.2</v>
      </c>
      <c r="Q6" s="17">
        <f>COUNTIF(ComponentRecipes2[Component], ThingsNeeded[[#This Row],[Component]])</f>
        <v>1</v>
      </c>
      <c r="R6" s="5">
        <f>IF(ThingsNeeded[[#This Row],[Component]] = "", "", COUNTIF(Recipes[Name], ThingsNeeded[[#This Row],[Component]]))</f>
        <v>0</v>
      </c>
      <c r="S6" s="16" t="b">
        <v>0</v>
      </c>
      <c r="U6" s="6">
        <f t="shared" si="0"/>
        <v>4</v>
      </c>
      <c r="V6" s="51" t="str">
        <f>IFERROR(Recipes[[#This Row],[Selected Name]], "")</f>
        <v>Iron Plate</v>
      </c>
      <c r="W6" s="51" t="str">
        <f>IFERROR(Recipes[[#This Row],[Selected Component]], "")</f>
        <v>Iron Ore</v>
      </c>
      <c r="X6" s="52">
        <f>IFERROR(Recipes[[#This Row],[Selected Quantity]], "")</f>
        <v>1</v>
      </c>
      <c r="Z6" s="53">
        <f t="shared" si="1"/>
        <v>5</v>
      </c>
      <c r="AA6" s="51" t="str">
        <f>IFERROR(Recipes2[[#This Row],[Selected Component]], "")</f>
        <v>Iron Plate</v>
      </c>
      <c r="AB6" s="51" t="str">
        <f>IFERROR(Recipes2[[#This Row],[Selected Name]], "")</f>
        <v>Electronic Circuit</v>
      </c>
      <c r="AC6" s="52">
        <f>IFERROR(Recipes2[[#This Row],[Selected Quantity]], "")</f>
        <v>1</v>
      </c>
    </row>
    <row r="7" spans="1:29" x14ac:dyDescent="0.25">
      <c r="B7" s="67" t="s">
        <v>173</v>
      </c>
      <c r="C7" s="67"/>
      <c r="D7" s="44">
        <v>2.5</v>
      </c>
      <c r="E7" s="21" t="str">
        <f>INDEX(Items[Producer Type], E6)</f>
        <v>Assembly Machine</v>
      </c>
      <c r="G7" s="3" t="str">
        <f>IFERROR(INDEX(Items[Name], Items[[#This Row],[Condensed]]), "")</f>
        <v>Iron Plate</v>
      </c>
      <c r="H7" s="7">
        <f>IFERROR(INDEX(Items[Producers For Selected Count], Items[[#This Row],[Condensed]]), "")</f>
        <v>2</v>
      </c>
      <c r="I7" s="7">
        <f>IFERROR(INDEX(Items[Fractional Producers for Selected Count], Items[[#This Row],[Condensed]]), "")</f>
        <v>1.4583333333333335</v>
      </c>
      <c r="J7" s="5">
        <f>IFERROR(INDEX(Items[Base Cycle Time], MATCH(ThingsNeeded[[#This Row],[Component]], Items[Name], 0)), "")</f>
        <v>3.5</v>
      </c>
      <c r="K7" s="5">
        <f>IFERROR(ROUND(1 / ThingsNeeded[[#This Row],[Produced Per Second]], 2), "")</f>
        <v>0.57999999999999996</v>
      </c>
      <c r="L7" s="10">
        <f>IFERROR(INDEX(Items[Per Second], MATCH(ThingsNeeded[[#This Row],[Component]], Items[Name], 0)), "")</f>
        <v>1.7142857142857142</v>
      </c>
      <c r="M7" s="4" t="str">
        <f>IFERROR(LEFT(INDEX(Items[Producer Type], Items[[#This Row],[Condensed]]), 1), "")</f>
        <v>F</v>
      </c>
      <c r="N7" s="58">
        <f>IFERROR(CEILING(INDEX(Items[Selected Per Second], Items[[#This Row],[Condensed]]), 0.01), "")</f>
        <v>2.5</v>
      </c>
      <c r="O7" s="5">
        <f>IFERROR(ROUND(ThingsNeeded[[#This Row],[Producers]] / ThingsNeeded[[#This Row],[Fractional Producers]] * ThingsNeeded[[#This Row],[Needed Per Second]], 2), "")</f>
        <v>3.43</v>
      </c>
      <c r="P7" s="19">
        <f>IFERROR(IF(ThingsNeeded[[#This Row],[Used]], 0, ROUND(ThingsNeeded[[#This Row],[Created Per Second]] / ThingsNeeded[[#This Row],[Needed Per Second]] - 1, 2)), "")</f>
        <v>0.37</v>
      </c>
      <c r="Q7" s="17">
        <f>COUNTIF(ComponentRecipes2[Component], ThingsNeeded[[#This Row],[Component]])</f>
        <v>1</v>
      </c>
      <c r="R7" s="5">
        <f>IF(ThingsNeeded[[#This Row],[Component]] = "", "", COUNTIF(Recipes[Name], ThingsNeeded[[#This Row],[Component]]))</f>
        <v>1</v>
      </c>
      <c r="S7" s="16" t="b">
        <v>0</v>
      </c>
      <c r="U7" s="6">
        <f t="shared" si="0"/>
        <v>5</v>
      </c>
      <c r="V7" s="51" t="str">
        <f>IFERROR(Recipes[[#This Row],[Selected Name]], "")</f>
        <v/>
      </c>
      <c r="W7" s="51" t="str">
        <f>IFERROR(Recipes[[#This Row],[Selected Component]], "")</f>
        <v/>
      </c>
      <c r="X7" s="52" t="str">
        <f>IFERROR(Recipes[[#This Row],[Selected Quantity]], "")</f>
        <v/>
      </c>
      <c r="Z7" s="53">
        <f t="shared" si="1"/>
        <v>6</v>
      </c>
      <c r="AA7" s="51" t="str">
        <f>IFERROR(Recipes2[[#This Row],[Selected Component]], "")</f>
        <v/>
      </c>
      <c r="AB7" s="51" t="str">
        <f>IFERROR(Recipes2[[#This Row],[Selected Name]], "")</f>
        <v/>
      </c>
      <c r="AC7" s="52" t="str">
        <f>IFERROR(Recipes2[[#This Row],[Selected Quantity]], "")</f>
        <v/>
      </c>
    </row>
    <row r="8" spans="1:29" x14ac:dyDescent="0.25">
      <c r="B8" s="68" t="s">
        <v>136</v>
      </c>
      <c r="C8" s="68"/>
      <c r="D8" s="44">
        <v>150</v>
      </c>
      <c r="G8" s="3" t="str">
        <f>IFERROR(INDEX(Items[Name], Items[[#This Row],[Condensed]]), "")</f>
        <v/>
      </c>
      <c r="H8" s="7" t="str">
        <f>IFERROR(INDEX(Items[Producers For Selected Count], Items[[#This Row],[Condensed]]), "")</f>
        <v/>
      </c>
      <c r="I8" s="7" t="str">
        <f>IFERROR(INDEX(Items[Fractional Producers for Selected Count], Items[[#This Row],[Condensed]]), "")</f>
        <v/>
      </c>
      <c r="J8" s="5" t="str">
        <f>IFERROR(INDEX(Items[Base Cycle Time], MATCH(ThingsNeeded[[#This Row],[Component]], Items[Name], 0)), "")</f>
        <v/>
      </c>
      <c r="K8" s="5" t="str">
        <f>IFERROR(ROUND(1 / ThingsNeeded[[#This Row],[Produced Per Second]], 2), "")</f>
        <v/>
      </c>
      <c r="L8" s="10" t="str">
        <f>IFERROR(INDEX(Items[Per Second], MATCH(ThingsNeeded[[#This Row],[Component]], Items[Name], 0)), "")</f>
        <v/>
      </c>
      <c r="M8" s="4" t="str">
        <f>IFERROR(LEFT(INDEX(Items[Producer Type], Items[[#This Row],[Condensed]]), 1), "")</f>
        <v/>
      </c>
      <c r="N8" s="58" t="str">
        <f>IFERROR(CEILING(INDEX(Items[Selected Per Second], Items[[#This Row],[Condensed]]), 0.01), "")</f>
        <v/>
      </c>
      <c r="O8" s="5" t="str">
        <f>IFERROR(ROUND(ThingsNeeded[[#This Row],[Producers]] / ThingsNeeded[[#This Row],[Fractional Producers]] * ThingsNeeded[[#This Row],[Needed Per Second]], 2), "")</f>
        <v/>
      </c>
      <c r="P8" s="19" t="str">
        <f>IFERROR(IF(ThingsNeeded[[#This Row],[Used]], 0, ROUND(ThingsNeeded[[#This Row],[Created Per Second]] / ThingsNeeded[[#This Row],[Needed Per Second]] - 1, 2)), "")</f>
        <v/>
      </c>
      <c r="Q8" s="17">
        <f>COUNTIF(ComponentRecipes2[Component], ThingsNeeded[[#This Row],[Component]])</f>
        <v>294</v>
      </c>
      <c r="R8" s="5" t="str">
        <f>IF(ThingsNeeded[[#This Row],[Component]] = "", "", COUNTIF(Recipes[Name], ThingsNeeded[[#This Row],[Component]]))</f>
        <v/>
      </c>
      <c r="S8" s="16" t="b">
        <v>0</v>
      </c>
      <c r="U8" s="6">
        <f t="shared" si="0"/>
        <v>5</v>
      </c>
      <c r="V8" s="51" t="str">
        <f>IFERROR(Recipes[[#This Row],[Selected Name]], "")</f>
        <v/>
      </c>
      <c r="W8" s="51" t="str">
        <f>IFERROR(Recipes[[#This Row],[Selected Component]], "")</f>
        <v/>
      </c>
      <c r="X8" s="52" t="str">
        <f>IFERROR(Recipes[[#This Row],[Selected Quantity]], "")</f>
        <v/>
      </c>
      <c r="Z8" s="53">
        <f t="shared" si="1"/>
        <v>6</v>
      </c>
      <c r="AA8" s="51" t="str">
        <f>IFERROR(Recipes2[[#This Row],[Selected Component]], "")</f>
        <v/>
      </c>
      <c r="AB8" s="51" t="str">
        <f>IFERROR(Recipes2[[#This Row],[Selected Name]], "")</f>
        <v/>
      </c>
      <c r="AC8" s="52" t="str">
        <f>IFERROR(Recipes2[[#This Row],[Selected Quantity]], "")</f>
        <v/>
      </c>
    </row>
    <row r="9" spans="1:29" x14ac:dyDescent="0.25">
      <c r="B9" s="67" t="s">
        <v>201</v>
      </c>
      <c r="C9" s="68"/>
      <c r="D9" s="44"/>
      <c r="G9" s="3" t="str">
        <f>IFERROR(INDEX(Items[Name], Items[[#This Row],[Condensed]]), "")</f>
        <v/>
      </c>
      <c r="H9" s="7" t="str">
        <f>IFERROR(INDEX(Items[Producers For Selected Count], Items[[#This Row],[Condensed]]), "")</f>
        <v/>
      </c>
      <c r="I9" s="7" t="str">
        <f>IFERROR(INDEX(Items[Fractional Producers for Selected Count], Items[[#This Row],[Condensed]]), "")</f>
        <v/>
      </c>
      <c r="J9" s="5" t="str">
        <f>IFERROR(INDEX(Items[Base Cycle Time], MATCH(ThingsNeeded[[#This Row],[Component]], Items[Name], 0)), "")</f>
        <v/>
      </c>
      <c r="K9" s="5" t="str">
        <f>IFERROR(ROUND(1 / ThingsNeeded[[#This Row],[Produced Per Second]], 2), "")</f>
        <v/>
      </c>
      <c r="L9" s="10" t="str">
        <f>IFERROR(INDEX(Items[Per Second], MATCH(ThingsNeeded[[#This Row],[Component]], Items[Name], 0)), "")</f>
        <v/>
      </c>
      <c r="M9" s="4" t="str">
        <f>IFERROR(LEFT(INDEX(Items[Producer Type], Items[[#This Row],[Condensed]]), 1), "")</f>
        <v/>
      </c>
      <c r="N9" s="58" t="str">
        <f>IFERROR(CEILING(INDEX(Items[Selected Per Second], Items[[#This Row],[Condensed]]), 0.01), "")</f>
        <v/>
      </c>
      <c r="O9" s="5" t="str">
        <f>IFERROR(ROUND(ThingsNeeded[[#This Row],[Producers]] / ThingsNeeded[[#This Row],[Fractional Producers]] * ThingsNeeded[[#This Row],[Needed Per Second]], 2), "")</f>
        <v/>
      </c>
      <c r="P9" s="19" t="str">
        <f>IFERROR(IF(ThingsNeeded[[#This Row],[Used]], 0, ROUND(ThingsNeeded[[#This Row],[Created Per Second]] / ThingsNeeded[[#This Row],[Needed Per Second]] - 1, 2)), "")</f>
        <v/>
      </c>
      <c r="Q9" s="17">
        <f>COUNTIF(ComponentRecipes2[Component], ThingsNeeded[[#This Row],[Component]])</f>
        <v>294</v>
      </c>
      <c r="R9" s="5" t="str">
        <f>IF(ThingsNeeded[[#This Row],[Component]] = "", "", COUNTIF(Recipes[Name], ThingsNeeded[[#This Row],[Component]]))</f>
        <v/>
      </c>
      <c r="S9" s="16" t="b">
        <v>0</v>
      </c>
      <c r="U9" s="6">
        <f t="shared" si="0"/>
        <v>5</v>
      </c>
      <c r="V9" s="51" t="str">
        <f>IFERROR(Recipes[[#This Row],[Selected Name]], "")</f>
        <v/>
      </c>
      <c r="W9" s="51" t="str">
        <f>IFERROR(Recipes[[#This Row],[Selected Component]], "")</f>
        <v/>
      </c>
      <c r="X9" s="52" t="str">
        <f>IFERROR(Recipes[[#This Row],[Selected Quantity]], "")</f>
        <v/>
      </c>
      <c r="Z9" s="53">
        <f t="shared" si="1"/>
        <v>6</v>
      </c>
      <c r="AA9" s="51" t="str">
        <f>IFERROR(Recipes2[[#This Row],[Selected Component]], "")</f>
        <v/>
      </c>
      <c r="AB9" s="51" t="str">
        <f>IFERROR(Recipes2[[#This Row],[Selected Name]], "")</f>
        <v/>
      </c>
      <c r="AC9" s="52" t="str">
        <f>IFERROR(Recipes2[[#This Row],[Selected Quantity]], "")</f>
        <v/>
      </c>
    </row>
    <row r="10" spans="1:29" x14ac:dyDescent="0.25">
      <c r="B10" s="69" t="s">
        <v>191</v>
      </c>
      <c r="C10" s="69"/>
      <c r="D10" s="69"/>
      <c r="G10" s="3" t="str">
        <f>IFERROR(INDEX(Items[Name], Items[[#This Row],[Condensed]]), "")</f>
        <v/>
      </c>
      <c r="H10" s="7" t="str">
        <f>IFERROR(INDEX(Items[Producers For Selected Count], Items[[#This Row],[Condensed]]), "")</f>
        <v/>
      </c>
      <c r="I10" s="7" t="str">
        <f>IFERROR(INDEX(Items[Fractional Producers for Selected Count], Items[[#This Row],[Condensed]]), "")</f>
        <v/>
      </c>
      <c r="J10" s="5" t="str">
        <f>IFERROR(INDEX(Items[Base Cycle Time], MATCH(ThingsNeeded[[#This Row],[Component]], Items[Name], 0)), "")</f>
        <v/>
      </c>
      <c r="K10" s="5" t="str">
        <f>IFERROR(ROUND(1 / ThingsNeeded[[#This Row],[Produced Per Second]], 2), "")</f>
        <v/>
      </c>
      <c r="L10" s="10" t="str">
        <f>IFERROR(INDEX(Items[Per Second], MATCH(ThingsNeeded[[#This Row],[Component]], Items[Name], 0)), "")</f>
        <v/>
      </c>
      <c r="M10" s="4" t="str">
        <f>IFERROR(LEFT(INDEX(Items[Producer Type], Items[[#This Row],[Condensed]]), 1), "")</f>
        <v/>
      </c>
      <c r="N10" s="58" t="str">
        <f>IFERROR(CEILING(INDEX(Items[Selected Per Second], Items[[#This Row],[Condensed]]), 0.01), "")</f>
        <v/>
      </c>
      <c r="O10" s="5" t="str">
        <f>IFERROR(ROUND(ThingsNeeded[[#This Row],[Producers]] / ThingsNeeded[[#This Row],[Fractional Producers]] * ThingsNeeded[[#This Row],[Needed Per Second]], 2), "")</f>
        <v/>
      </c>
      <c r="P10" s="19" t="str">
        <f>IFERROR(IF(ThingsNeeded[[#This Row],[Used]], 0, ROUND(ThingsNeeded[[#This Row],[Created Per Second]] / ThingsNeeded[[#This Row],[Needed Per Second]] - 1, 2)), "")</f>
        <v/>
      </c>
      <c r="Q10" s="17">
        <f>COUNTIF(ComponentRecipes2[Component], ThingsNeeded[[#This Row],[Component]])</f>
        <v>294</v>
      </c>
      <c r="R10" s="5" t="str">
        <f>IF(ThingsNeeded[[#This Row],[Component]] = "", "", COUNTIF(Recipes[Name], ThingsNeeded[[#This Row],[Component]]))</f>
        <v/>
      </c>
      <c r="S10" s="16" t="b">
        <v>0</v>
      </c>
      <c r="U10" s="6">
        <f t="shared" si="0"/>
        <v>5</v>
      </c>
      <c r="V10" s="51" t="str">
        <f>IFERROR(Recipes[[#This Row],[Selected Name]], "")</f>
        <v/>
      </c>
      <c r="W10" s="51" t="str">
        <f>IFERROR(Recipes[[#This Row],[Selected Component]], "")</f>
        <v/>
      </c>
      <c r="X10" s="52" t="str">
        <f>IFERROR(Recipes[[#This Row],[Selected Quantity]], "")</f>
        <v/>
      </c>
      <c r="Z10" s="53">
        <f t="shared" si="1"/>
        <v>6</v>
      </c>
      <c r="AA10" s="51" t="str">
        <f>IFERROR(Recipes2[[#This Row],[Selected Component]], "")</f>
        <v/>
      </c>
      <c r="AB10" s="51" t="str">
        <f>IFERROR(Recipes2[[#This Row],[Selected Name]], "")</f>
        <v/>
      </c>
      <c r="AC10" s="52" t="str">
        <f>IFERROR(Recipes2[[#This Row],[Selected Quantity]], "")</f>
        <v/>
      </c>
    </row>
    <row r="11" spans="1:29" x14ac:dyDescent="0.25">
      <c r="B11" s="78" t="s">
        <v>94</v>
      </c>
      <c r="C11" s="79"/>
      <c r="D11" s="27">
        <f>SUMIF(ThingsNeeded[Type], "A", ThingsNeeded[Producers])</f>
        <v>3</v>
      </c>
      <c r="G11" s="3" t="str">
        <f>IFERROR(INDEX(Items[Name], Items[[#This Row],[Condensed]]), "")</f>
        <v/>
      </c>
      <c r="H11" s="7" t="str">
        <f>IFERROR(INDEX(Items[Producers For Selected Count], Items[[#This Row],[Condensed]]), "")</f>
        <v/>
      </c>
      <c r="I11" s="7" t="str">
        <f>IFERROR(INDEX(Items[Fractional Producers for Selected Count], Items[[#This Row],[Condensed]]), "")</f>
        <v/>
      </c>
      <c r="J11" s="5" t="str">
        <f>IFERROR(INDEX(Items[Base Cycle Time], MATCH(ThingsNeeded[[#This Row],[Component]], Items[Name], 0)), "")</f>
        <v/>
      </c>
      <c r="K11" s="5" t="str">
        <f>IFERROR(ROUND(1 / ThingsNeeded[[#This Row],[Produced Per Second]], 2), "")</f>
        <v/>
      </c>
      <c r="L11" s="10" t="str">
        <f>IFERROR(INDEX(Items[Per Second], MATCH(ThingsNeeded[[#This Row],[Component]], Items[Name], 0)), "")</f>
        <v/>
      </c>
      <c r="M11" s="4" t="str">
        <f>IFERROR(LEFT(INDEX(Items[Producer Type], Items[[#This Row],[Condensed]]), 1), "")</f>
        <v/>
      </c>
      <c r="N11" s="58" t="str">
        <f>IFERROR(CEILING(INDEX(Items[Selected Per Second], Items[[#This Row],[Condensed]]), 0.01), "")</f>
        <v/>
      </c>
      <c r="O11" s="5" t="str">
        <f>IFERROR(ROUND(ThingsNeeded[[#This Row],[Producers]] / ThingsNeeded[[#This Row],[Fractional Producers]] * ThingsNeeded[[#This Row],[Needed Per Second]], 2), "")</f>
        <v/>
      </c>
      <c r="P11" s="19" t="str">
        <f>IFERROR(IF(ThingsNeeded[[#This Row],[Used]], 0, ROUND(ThingsNeeded[[#This Row],[Created Per Second]] / ThingsNeeded[[#This Row],[Needed Per Second]] - 1, 2)), "")</f>
        <v/>
      </c>
      <c r="Q11" s="17">
        <f>COUNTIF(ComponentRecipes2[Component], ThingsNeeded[[#This Row],[Component]])</f>
        <v>294</v>
      </c>
      <c r="R11" s="5" t="str">
        <f>IF(ThingsNeeded[[#This Row],[Component]] = "", "", COUNTIF(Recipes[Name], ThingsNeeded[[#This Row],[Component]]))</f>
        <v/>
      </c>
      <c r="S11" s="16" t="b">
        <v>0</v>
      </c>
      <c r="U11" s="6">
        <f t="shared" si="0"/>
        <v>5</v>
      </c>
      <c r="V11" s="51" t="str">
        <f>IFERROR(Recipes[[#This Row],[Selected Name]], "")</f>
        <v/>
      </c>
      <c r="W11" s="51" t="str">
        <f>IFERROR(Recipes[[#This Row],[Selected Component]], "")</f>
        <v/>
      </c>
      <c r="X11" s="52" t="str">
        <f>IFERROR(Recipes[[#This Row],[Selected Quantity]], "")</f>
        <v/>
      </c>
      <c r="Z11" s="53">
        <f t="shared" si="1"/>
        <v>6</v>
      </c>
      <c r="AA11" s="51" t="str">
        <f>IFERROR(Recipes2[[#This Row],[Selected Component]], "")</f>
        <v/>
      </c>
      <c r="AB11" s="51" t="str">
        <f>IFERROR(Recipes2[[#This Row],[Selected Name]], "")</f>
        <v/>
      </c>
      <c r="AC11" s="52" t="str">
        <f>IFERROR(Recipes2[[#This Row],[Selected Quantity]], "")</f>
        <v/>
      </c>
    </row>
    <row r="12" spans="1:29" x14ac:dyDescent="0.25">
      <c r="B12" s="83" t="s">
        <v>89</v>
      </c>
      <c r="C12" s="84"/>
      <c r="D12" s="28">
        <f>SUMIF(ThingsNeeded[Type], "C", ThingsNeeded[Producers])</f>
        <v>0</v>
      </c>
      <c r="G12" s="3" t="str">
        <f>IFERROR(INDEX(Items[Name], Items[[#This Row],[Condensed]]), "")</f>
        <v/>
      </c>
      <c r="H12" s="7" t="str">
        <f>IFERROR(INDEX(Items[Producers For Selected Count], Items[[#This Row],[Condensed]]), "")</f>
        <v/>
      </c>
      <c r="I12" s="7" t="str">
        <f>IFERROR(INDEX(Items[Fractional Producers for Selected Count], Items[[#This Row],[Condensed]]), "")</f>
        <v/>
      </c>
      <c r="J12" s="5" t="str">
        <f>IFERROR(INDEX(Items[Base Cycle Time], MATCH(ThingsNeeded[[#This Row],[Component]], Items[Name], 0)), "")</f>
        <v/>
      </c>
      <c r="K12" s="5" t="str">
        <f>IFERROR(ROUND(1 / ThingsNeeded[[#This Row],[Produced Per Second]], 2), "")</f>
        <v/>
      </c>
      <c r="L12" s="10" t="str">
        <f>IFERROR(INDEX(Items[Per Second], MATCH(ThingsNeeded[[#This Row],[Component]], Items[Name], 0)), "")</f>
        <v/>
      </c>
      <c r="M12" s="4" t="str">
        <f>IFERROR(LEFT(INDEX(Items[Producer Type], Items[[#This Row],[Condensed]]), 1), "")</f>
        <v/>
      </c>
      <c r="N12" s="58" t="str">
        <f>IFERROR(CEILING(INDEX(Items[Selected Per Second], Items[[#This Row],[Condensed]]), 0.01), "")</f>
        <v/>
      </c>
      <c r="O12" s="5" t="str">
        <f>IFERROR(ROUND(ThingsNeeded[[#This Row],[Producers]] / ThingsNeeded[[#This Row],[Fractional Producers]] * ThingsNeeded[[#This Row],[Needed Per Second]], 2), "")</f>
        <v/>
      </c>
      <c r="P12" s="19" t="str">
        <f>IFERROR(IF(ThingsNeeded[[#This Row],[Used]], 0, ROUND(ThingsNeeded[[#This Row],[Created Per Second]] / ThingsNeeded[[#This Row],[Needed Per Second]] - 1, 2)), "")</f>
        <v/>
      </c>
      <c r="Q12" s="17">
        <f>COUNTIF(ComponentRecipes2[Component], ThingsNeeded[[#This Row],[Component]])</f>
        <v>294</v>
      </c>
      <c r="R12" s="5" t="str">
        <f>IF(ThingsNeeded[[#This Row],[Component]] = "", "", COUNTIF(Recipes[Name], ThingsNeeded[[#This Row],[Component]]))</f>
        <v/>
      </c>
      <c r="S12" s="16" t="b">
        <v>0</v>
      </c>
      <c r="U12" s="6">
        <f t="shared" si="0"/>
        <v>5</v>
      </c>
      <c r="V12" s="51" t="str">
        <f>IFERROR(Recipes[[#This Row],[Selected Name]], "")</f>
        <v/>
      </c>
      <c r="W12" s="51" t="str">
        <f>IFERROR(Recipes[[#This Row],[Selected Component]], "")</f>
        <v/>
      </c>
      <c r="X12" s="52" t="str">
        <f>IFERROR(Recipes[[#This Row],[Selected Quantity]], "")</f>
        <v/>
      </c>
      <c r="Z12" s="53">
        <f t="shared" si="1"/>
        <v>6</v>
      </c>
      <c r="AA12" s="51" t="str">
        <f>IFERROR(Recipes2[[#This Row],[Selected Component]], "")</f>
        <v/>
      </c>
      <c r="AB12" s="51" t="str">
        <f>IFERROR(Recipes2[[#This Row],[Selected Name]], "")</f>
        <v/>
      </c>
      <c r="AC12" s="52" t="str">
        <f>IFERROR(Recipes2[[#This Row],[Selected Quantity]], "")</f>
        <v/>
      </c>
    </row>
    <row r="13" spans="1:29" x14ac:dyDescent="0.25">
      <c r="B13" s="81" t="s">
        <v>91</v>
      </c>
      <c r="C13" s="81"/>
      <c r="D13" s="28">
        <f>SUMIF(ThingsNeeded[Type], "F", ThingsNeeded[Producers])</f>
        <v>5</v>
      </c>
      <c r="G13" s="3" t="str">
        <f>IFERROR(INDEX(Items[Name], Items[[#This Row],[Condensed]]), "")</f>
        <v/>
      </c>
      <c r="H13" s="7" t="str">
        <f>IFERROR(INDEX(Items[Producers For Selected Count], Items[[#This Row],[Condensed]]), "")</f>
        <v/>
      </c>
      <c r="I13" s="7" t="str">
        <f>IFERROR(INDEX(Items[Fractional Producers for Selected Count], Items[[#This Row],[Condensed]]), "")</f>
        <v/>
      </c>
      <c r="J13" s="5" t="str">
        <f>IFERROR(INDEX(Items[Base Cycle Time], MATCH(ThingsNeeded[[#This Row],[Component]], Items[Name], 0)), "")</f>
        <v/>
      </c>
      <c r="K13" s="5" t="str">
        <f>IFERROR(ROUND(1 / ThingsNeeded[[#This Row],[Produced Per Second]], 2), "")</f>
        <v/>
      </c>
      <c r="L13" s="10" t="str">
        <f>IFERROR(INDEX(Items[Per Second], MATCH(ThingsNeeded[[#This Row],[Component]], Items[Name], 0)), "")</f>
        <v/>
      </c>
      <c r="M13" s="4" t="str">
        <f>IFERROR(LEFT(INDEX(Items[Producer Type], Items[[#This Row],[Condensed]]), 1), "")</f>
        <v/>
      </c>
      <c r="N13" s="58" t="str">
        <f>IFERROR(CEILING(INDEX(Items[Selected Per Second], Items[[#This Row],[Condensed]]), 0.01), "")</f>
        <v/>
      </c>
      <c r="O13" s="5" t="str">
        <f>IFERROR(ROUND(ThingsNeeded[[#This Row],[Producers]] / ThingsNeeded[[#This Row],[Fractional Producers]] * ThingsNeeded[[#This Row],[Needed Per Second]], 2), "")</f>
        <v/>
      </c>
      <c r="P13" s="19" t="str">
        <f>IFERROR(IF(ThingsNeeded[[#This Row],[Used]], 0, ROUND(ThingsNeeded[[#This Row],[Created Per Second]] / ThingsNeeded[[#This Row],[Needed Per Second]] - 1, 2)), "")</f>
        <v/>
      </c>
      <c r="Q13" s="17">
        <f>COUNTIF(ComponentRecipes2[Component], ThingsNeeded[[#This Row],[Component]])</f>
        <v>294</v>
      </c>
      <c r="R13" s="5" t="str">
        <f>IF(ThingsNeeded[[#This Row],[Component]] = "", "", COUNTIF(Recipes[Name], ThingsNeeded[[#This Row],[Component]]))</f>
        <v/>
      </c>
      <c r="S13" s="16" t="b">
        <v>0</v>
      </c>
      <c r="U13" s="6">
        <f t="shared" si="0"/>
        <v>5</v>
      </c>
      <c r="V13" s="51" t="str">
        <f>IFERROR(Recipes[[#This Row],[Selected Name]], "")</f>
        <v/>
      </c>
      <c r="W13" s="51" t="str">
        <f>IFERROR(Recipes[[#This Row],[Selected Component]], "")</f>
        <v/>
      </c>
      <c r="X13" s="52" t="str">
        <f>IFERROR(Recipes[[#This Row],[Selected Quantity]], "")</f>
        <v/>
      </c>
      <c r="Z13" s="53">
        <f t="shared" si="1"/>
        <v>6</v>
      </c>
      <c r="AA13" s="51" t="str">
        <f>IFERROR(Recipes2[[#This Row],[Selected Component]], "")</f>
        <v/>
      </c>
      <c r="AB13" s="51" t="str">
        <f>IFERROR(Recipes2[[#This Row],[Selected Name]], "")</f>
        <v/>
      </c>
      <c r="AC13" s="52" t="str">
        <f>IFERROR(Recipes2[[#This Row],[Selected Quantity]], "")</f>
        <v/>
      </c>
    </row>
    <row r="14" spans="1:29" x14ac:dyDescent="0.25">
      <c r="B14" s="80" t="s">
        <v>90</v>
      </c>
      <c r="C14" s="80"/>
      <c r="D14" s="28">
        <f>SUMIF(ThingsNeeded[Type], "M", ThingsNeeded[Producers])</f>
        <v>7</v>
      </c>
      <c r="G14" s="3" t="str">
        <f>IFERROR(INDEX(Items[Name], Items[[#This Row],[Condensed]]), "")</f>
        <v/>
      </c>
      <c r="H14" s="7" t="str">
        <f>IFERROR(INDEX(Items[Producers For Selected Count], Items[[#This Row],[Condensed]]), "")</f>
        <v/>
      </c>
      <c r="I14" s="7" t="str">
        <f>IFERROR(INDEX(Items[Fractional Producers for Selected Count], Items[[#This Row],[Condensed]]), "")</f>
        <v/>
      </c>
      <c r="J14" s="5" t="str">
        <f>IFERROR(INDEX(Items[Base Cycle Time], MATCH(ThingsNeeded[[#This Row],[Component]], Items[Name], 0)), "")</f>
        <v/>
      </c>
      <c r="K14" s="5" t="str">
        <f>IFERROR(ROUND(1 / ThingsNeeded[[#This Row],[Produced Per Second]], 2), "")</f>
        <v/>
      </c>
      <c r="L14" s="10" t="str">
        <f>IFERROR(INDEX(Items[Per Second], MATCH(ThingsNeeded[[#This Row],[Component]], Items[Name], 0)), "")</f>
        <v/>
      </c>
      <c r="M14" s="4" t="str">
        <f>IFERROR(LEFT(INDEX(Items[Producer Type], Items[[#This Row],[Condensed]]), 1), "")</f>
        <v/>
      </c>
      <c r="N14" s="58" t="str">
        <f>IFERROR(CEILING(INDEX(Items[Selected Per Second], Items[[#This Row],[Condensed]]), 0.01), "")</f>
        <v/>
      </c>
      <c r="O14" s="5" t="str">
        <f>IFERROR(ROUND(ThingsNeeded[[#This Row],[Producers]] / ThingsNeeded[[#This Row],[Fractional Producers]] * ThingsNeeded[[#This Row],[Needed Per Second]], 2), "")</f>
        <v/>
      </c>
      <c r="P14" s="19" t="str">
        <f>IFERROR(IF(ThingsNeeded[[#This Row],[Used]], 0, ROUND(ThingsNeeded[[#This Row],[Created Per Second]] / ThingsNeeded[[#This Row],[Needed Per Second]] - 1, 2)), "")</f>
        <v/>
      </c>
      <c r="Q14" s="17">
        <f>COUNTIF(ComponentRecipes2[Component], ThingsNeeded[[#This Row],[Component]])</f>
        <v>294</v>
      </c>
      <c r="R14" s="5" t="str">
        <f>IF(ThingsNeeded[[#This Row],[Component]] = "", "", COUNTIF(Recipes[Name], ThingsNeeded[[#This Row],[Component]]))</f>
        <v/>
      </c>
      <c r="S14" s="16" t="b">
        <v>0</v>
      </c>
      <c r="U14" s="6">
        <f t="shared" si="0"/>
        <v>5</v>
      </c>
      <c r="V14" s="51" t="str">
        <f>IFERROR(Recipes[[#This Row],[Selected Name]], "")</f>
        <v/>
      </c>
      <c r="W14" s="51" t="str">
        <f>IFERROR(Recipes[[#This Row],[Selected Component]], "")</f>
        <v/>
      </c>
      <c r="X14" s="52" t="str">
        <f>IFERROR(Recipes[[#This Row],[Selected Quantity]], "")</f>
        <v/>
      </c>
      <c r="Z14" s="53">
        <f t="shared" si="1"/>
        <v>6</v>
      </c>
      <c r="AA14" s="51" t="str">
        <f>IFERROR(Recipes2[[#This Row],[Selected Component]], "")</f>
        <v/>
      </c>
      <c r="AB14" s="51" t="str">
        <f>IFERROR(Recipes2[[#This Row],[Selected Name]], "")</f>
        <v/>
      </c>
      <c r="AC14" s="52" t="str">
        <f>IFERROR(Recipes2[[#This Row],[Selected Quantity]], "")</f>
        <v/>
      </c>
    </row>
    <row r="15" spans="1:29" x14ac:dyDescent="0.25">
      <c r="B15" s="82" t="s">
        <v>88</v>
      </c>
      <c r="C15" s="82"/>
      <c r="D15" s="28">
        <f>SUMIF(ThingsNeeded[Type], "R", ThingsNeeded[Producers])</f>
        <v>0</v>
      </c>
      <c r="G15" s="3" t="str">
        <f>IFERROR(INDEX(Items[Name], Items[[#This Row],[Condensed]]), "")</f>
        <v/>
      </c>
      <c r="H15" s="7" t="str">
        <f>IFERROR(INDEX(Items[Producers For Selected Count], Items[[#This Row],[Condensed]]), "")</f>
        <v/>
      </c>
      <c r="I15" s="7" t="str">
        <f>IFERROR(INDEX(Items[Fractional Producers for Selected Count], Items[[#This Row],[Condensed]]), "")</f>
        <v/>
      </c>
      <c r="J15" s="5" t="str">
        <f>IFERROR(INDEX(Items[Base Cycle Time], MATCH(ThingsNeeded[[#This Row],[Component]], Items[Name], 0)), "")</f>
        <v/>
      </c>
      <c r="K15" s="5" t="str">
        <f>IFERROR(ROUND(1 / ThingsNeeded[[#This Row],[Produced Per Second]], 2), "")</f>
        <v/>
      </c>
      <c r="L15" s="10" t="str">
        <f>IFERROR(INDEX(Items[Per Second], MATCH(ThingsNeeded[[#This Row],[Component]], Items[Name], 0)), "")</f>
        <v/>
      </c>
      <c r="M15" s="4" t="str">
        <f>IFERROR(LEFT(INDEX(Items[Producer Type], Items[[#This Row],[Condensed]]), 1), "")</f>
        <v/>
      </c>
      <c r="N15" s="58" t="str">
        <f>IFERROR(CEILING(INDEX(Items[Selected Per Second], Items[[#This Row],[Condensed]]), 0.01), "")</f>
        <v/>
      </c>
      <c r="O15" s="5" t="str">
        <f>IFERROR(ROUND(ThingsNeeded[[#This Row],[Producers]] / ThingsNeeded[[#This Row],[Fractional Producers]] * ThingsNeeded[[#This Row],[Needed Per Second]], 2), "")</f>
        <v/>
      </c>
      <c r="P15" s="19" t="str">
        <f>IFERROR(IF(ThingsNeeded[[#This Row],[Used]], 0, ROUND(ThingsNeeded[[#This Row],[Created Per Second]] / ThingsNeeded[[#This Row],[Needed Per Second]] - 1, 2)), "")</f>
        <v/>
      </c>
      <c r="Q15" s="17">
        <f>COUNTIF(ComponentRecipes2[Component], ThingsNeeded[[#This Row],[Component]])</f>
        <v>294</v>
      </c>
      <c r="R15" s="5" t="str">
        <f>IF(ThingsNeeded[[#This Row],[Component]] = "", "", COUNTIF(Recipes[Name], ThingsNeeded[[#This Row],[Component]]))</f>
        <v/>
      </c>
      <c r="S15" s="16" t="b">
        <v>0</v>
      </c>
      <c r="U15" s="6">
        <f t="shared" si="0"/>
        <v>5</v>
      </c>
      <c r="V15" s="51" t="str">
        <f>IFERROR(Recipes[[#This Row],[Selected Name]], "")</f>
        <v/>
      </c>
      <c r="W15" s="51" t="str">
        <f>IFERROR(Recipes[[#This Row],[Selected Component]], "")</f>
        <v/>
      </c>
      <c r="X15" s="52" t="str">
        <f>IFERROR(Recipes[[#This Row],[Selected Quantity]], "")</f>
        <v/>
      </c>
      <c r="Z15" s="53">
        <f t="shared" si="1"/>
        <v>6</v>
      </c>
      <c r="AA15" s="51" t="str">
        <f>IFERROR(Recipes2[[#This Row],[Selected Component]], "")</f>
        <v/>
      </c>
      <c r="AB15" s="51" t="str">
        <f>IFERROR(Recipes2[[#This Row],[Selected Name]], "")</f>
        <v/>
      </c>
      <c r="AC15" s="52" t="str">
        <f>IFERROR(Recipes2[[#This Row],[Selected Quantity]], "")</f>
        <v/>
      </c>
    </row>
    <row r="16" spans="1:29" x14ac:dyDescent="0.25">
      <c r="B16" s="77" t="s">
        <v>187</v>
      </c>
      <c r="C16" s="77"/>
      <c r="D16" s="29">
        <f>SUM(D11:D14)</f>
        <v>15</v>
      </c>
      <c r="G16" s="3" t="str">
        <f>IFERROR(INDEX(Items[Name], Items[[#This Row],[Condensed]]), "")</f>
        <v/>
      </c>
      <c r="H16" s="7" t="str">
        <f>IFERROR(INDEX(Items[Producers For Selected Count], Items[[#This Row],[Condensed]]), "")</f>
        <v/>
      </c>
      <c r="I16" s="7" t="str">
        <f>IFERROR(INDEX(Items[Fractional Producers for Selected Count], Items[[#This Row],[Condensed]]), "")</f>
        <v/>
      </c>
      <c r="J16" s="5" t="str">
        <f>IFERROR(INDEX(Items[Base Cycle Time], MATCH(ThingsNeeded[[#This Row],[Component]], Items[Name], 0)), "")</f>
        <v/>
      </c>
      <c r="K16" s="5" t="str">
        <f>IFERROR(ROUND(1 / ThingsNeeded[[#This Row],[Produced Per Second]], 2), "")</f>
        <v/>
      </c>
      <c r="L16" s="10" t="str">
        <f>IFERROR(INDEX(Items[Per Second], MATCH(ThingsNeeded[[#This Row],[Component]], Items[Name], 0)), "")</f>
        <v/>
      </c>
      <c r="M16" s="4" t="str">
        <f>IFERROR(LEFT(INDEX(Items[Producer Type], Items[[#This Row],[Condensed]]), 1), "")</f>
        <v/>
      </c>
      <c r="N16" s="58" t="str">
        <f>IFERROR(CEILING(INDEX(Items[Selected Per Second], Items[[#This Row],[Condensed]]), 0.01), "")</f>
        <v/>
      </c>
      <c r="O16" s="5" t="str">
        <f>IFERROR(ROUND(ThingsNeeded[[#This Row],[Producers]] / ThingsNeeded[[#This Row],[Fractional Producers]] * ThingsNeeded[[#This Row],[Needed Per Second]], 2), "")</f>
        <v/>
      </c>
      <c r="P16" s="19" t="str">
        <f>IFERROR(IF(ThingsNeeded[[#This Row],[Used]], 0, ROUND(ThingsNeeded[[#This Row],[Created Per Second]] / ThingsNeeded[[#This Row],[Needed Per Second]] - 1, 2)), "")</f>
        <v/>
      </c>
      <c r="Q16" s="17">
        <f>COUNTIF(ComponentRecipes2[Component], ThingsNeeded[[#This Row],[Component]])</f>
        <v>294</v>
      </c>
      <c r="R16" s="5" t="str">
        <f>IF(ThingsNeeded[[#This Row],[Component]] = "", "", COUNTIF(Recipes[Name], ThingsNeeded[[#This Row],[Component]]))</f>
        <v/>
      </c>
      <c r="S16" s="16" t="b">
        <v>0</v>
      </c>
      <c r="U16" s="6">
        <f t="shared" si="0"/>
        <v>5</v>
      </c>
      <c r="V16" s="51" t="str">
        <f>IFERROR(Recipes[[#This Row],[Selected Name]], "")</f>
        <v/>
      </c>
      <c r="W16" s="51" t="str">
        <f>IFERROR(Recipes[[#This Row],[Selected Component]], "")</f>
        <v/>
      </c>
      <c r="X16" s="52" t="str">
        <f>IFERROR(Recipes[[#This Row],[Selected Quantity]], "")</f>
        <v/>
      </c>
      <c r="Z16" s="53">
        <f t="shared" si="1"/>
        <v>6</v>
      </c>
      <c r="AA16" s="51" t="str">
        <f>IFERROR(Recipes2[[#This Row],[Selected Component]], "")</f>
        <v/>
      </c>
      <c r="AB16" s="51" t="str">
        <f>IFERROR(Recipes2[[#This Row],[Selected Name]], "")</f>
        <v/>
      </c>
      <c r="AC16" s="52" t="str">
        <f>IFERROR(Recipes2[[#This Row],[Selected Quantity]], "")</f>
        <v/>
      </c>
    </row>
    <row r="17" spans="2:29" x14ac:dyDescent="0.25">
      <c r="B17" s="69" t="s">
        <v>193</v>
      </c>
      <c r="C17" s="69"/>
      <c r="D17" s="69"/>
      <c r="G17" s="3" t="str">
        <f>IFERROR(INDEX(Items[Name], Items[[#This Row],[Condensed]]), "")</f>
        <v/>
      </c>
      <c r="H17" s="7" t="str">
        <f>IFERROR(INDEX(Items[Producers For Selected Count], Items[[#This Row],[Condensed]]), "")</f>
        <v/>
      </c>
      <c r="I17" s="7" t="str">
        <f>IFERROR(INDEX(Items[Fractional Producers for Selected Count], Items[[#This Row],[Condensed]]), "")</f>
        <v/>
      </c>
      <c r="J17" s="5" t="str">
        <f>IFERROR(INDEX(Items[Base Cycle Time], MATCH(ThingsNeeded[[#This Row],[Component]], Items[Name], 0)), "")</f>
        <v/>
      </c>
      <c r="K17" s="5" t="str">
        <f>IFERROR(ROUND(1 / ThingsNeeded[[#This Row],[Produced Per Second]], 2), "")</f>
        <v/>
      </c>
      <c r="L17" s="10" t="str">
        <f>IFERROR(INDEX(Items[Per Second], MATCH(ThingsNeeded[[#This Row],[Component]], Items[Name], 0)), "")</f>
        <v/>
      </c>
      <c r="M17" s="4" t="str">
        <f>IFERROR(LEFT(INDEX(Items[Producer Type], Items[[#This Row],[Condensed]]), 1), "")</f>
        <v/>
      </c>
      <c r="N17" s="58" t="str">
        <f>IFERROR(CEILING(INDEX(Items[Selected Per Second], Items[[#This Row],[Condensed]]), 0.01), "")</f>
        <v/>
      </c>
      <c r="O17" s="5" t="str">
        <f>IFERROR(ROUND(ThingsNeeded[[#This Row],[Producers]] / ThingsNeeded[[#This Row],[Fractional Producers]] * ThingsNeeded[[#This Row],[Needed Per Second]], 2), "")</f>
        <v/>
      </c>
      <c r="P17" s="19" t="str">
        <f>IFERROR(IF(ThingsNeeded[[#This Row],[Used]], 0, ROUND(ThingsNeeded[[#This Row],[Created Per Second]] / ThingsNeeded[[#This Row],[Needed Per Second]] - 1, 2)), "")</f>
        <v/>
      </c>
      <c r="Q17" s="17">
        <f>COUNTIF(ComponentRecipes2[Component], ThingsNeeded[[#This Row],[Component]])</f>
        <v>294</v>
      </c>
      <c r="R17" s="5" t="str">
        <f>IF(ThingsNeeded[[#This Row],[Component]] = "", "", COUNTIF(Recipes[Name], ThingsNeeded[[#This Row],[Component]]))</f>
        <v/>
      </c>
      <c r="S17" s="16" t="b">
        <v>0</v>
      </c>
      <c r="U17" s="6">
        <f t="shared" si="0"/>
        <v>5</v>
      </c>
      <c r="V17" s="51" t="str">
        <f>IFERROR(Recipes[[#This Row],[Selected Name]], "")</f>
        <v/>
      </c>
      <c r="W17" s="51" t="str">
        <f>IFERROR(Recipes[[#This Row],[Selected Component]], "")</f>
        <v/>
      </c>
      <c r="X17" s="52" t="str">
        <f>IFERROR(Recipes[[#This Row],[Selected Quantity]], "")</f>
        <v/>
      </c>
      <c r="Z17" s="53">
        <f t="shared" si="1"/>
        <v>6</v>
      </c>
      <c r="AA17" s="51" t="str">
        <f>IFERROR(Recipes2[[#This Row],[Selected Component]], "")</f>
        <v/>
      </c>
      <c r="AB17" s="51" t="str">
        <f>IFERROR(Recipes2[[#This Row],[Selected Name]], "")</f>
        <v/>
      </c>
      <c r="AC17" s="52" t="str">
        <f>IFERROR(Recipes2[[#This Row],[Selected Quantity]], "")</f>
        <v/>
      </c>
    </row>
    <row r="18" spans="2:29" x14ac:dyDescent="0.25">
      <c r="B18" s="43" t="s">
        <v>195</v>
      </c>
      <c r="C18" s="75" t="s">
        <v>97</v>
      </c>
      <c r="D18" s="76"/>
      <c r="G18" s="3" t="str">
        <f>IFERROR(INDEX(Items[Name], Items[[#This Row],[Condensed]]), "")</f>
        <v/>
      </c>
      <c r="H18" s="7" t="str">
        <f>IFERROR(INDEX(Items[Producers For Selected Count], Items[[#This Row],[Condensed]]), "")</f>
        <v/>
      </c>
      <c r="I18" s="7" t="str">
        <f>IFERROR(INDEX(Items[Fractional Producers for Selected Count], Items[[#This Row],[Condensed]]), "")</f>
        <v/>
      </c>
      <c r="J18" s="5" t="str">
        <f>IFERROR(INDEX(Items[Base Cycle Time], MATCH(ThingsNeeded[[#This Row],[Component]], Items[Name], 0)), "")</f>
        <v/>
      </c>
      <c r="K18" s="5" t="str">
        <f>IFERROR(ROUND(1 / ThingsNeeded[[#This Row],[Produced Per Second]], 2), "")</f>
        <v/>
      </c>
      <c r="L18" s="10" t="str">
        <f>IFERROR(INDEX(Items[Per Second], MATCH(ThingsNeeded[[#This Row],[Component]], Items[Name], 0)), "")</f>
        <v/>
      </c>
      <c r="M18" s="4" t="str">
        <f>IFERROR(LEFT(INDEX(Items[Producer Type], Items[[#This Row],[Condensed]]), 1), "")</f>
        <v/>
      </c>
      <c r="N18" s="58" t="str">
        <f>IFERROR(CEILING(INDEX(Items[Selected Per Second], Items[[#This Row],[Condensed]]), 0.01), "")</f>
        <v/>
      </c>
      <c r="O18" s="5" t="str">
        <f>IFERROR(ROUND(ThingsNeeded[[#This Row],[Producers]] / ThingsNeeded[[#This Row],[Fractional Producers]] * ThingsNeeded[[#This Row],[Needed Per Second]], 2), "")</f>
        <v/>
      </c>
      <c r="P18" s="19" t="str">
        <f>IFERROR(IF(ThingsNeeded[[#This Row],[Used]], 0, ROUND(ThingsNeeded[[#This Row],[Created Per Second]] / ThingsNeeded[[#This Row],[Needed Per Second]] - 1, 2)), "")</f>
        <v/>
      </c>
      <c r="Q18" s="17">
        <f>COUNTIF(ComponentRecipes2[Component], ThingsNeeded[[#This Row],[Component]])</f>
        <v>294</v>
      </c>
      <c r="R18" s="5" t="str">
        <f>IF(ThingsNeeded[[#This Row],[Component]] = "", "", COUNTIF(Recipes[Name], ThingsNeeded[[#This Row],[Component]]))</f>
        <v/>
      </c>
      <c r="S18" s="16" t="b">
        <v>0</v>
      </c>
      <c r="U18" s="6">
        <f t="shared" si="0"/>
        <v>5</v>
      </c>
      <c r="V18" s="51" t="str">
        <f>IFERROR(Recipes[[#This Row],[Selected Name]], "")</f>
        <v/>
      </c>
      <c r="W18" s="51" t="str">
        <f>IFERROR(Recipes[[#This Row],[Selected Component]], "")</f>
        <v/>
      </c>
      <c r="X18" s="52" t="str">
        <f>IFERROR(Recipes[[#This Row],[Selected Quantity]], "")</f>
        <v/>
      </c>
      <c r="Z18" s="53">
        <f t="shared" si="1"/>
        <v>6</v>
      </c>
      <c r="AA18" s="51" t="str">
        <f>IFERROR(Recipes2[[#This Row],[Selected Component]], "")</f>
        <v/>
      </c>
      <c r="AB18" s="51" t="str">
        <f>IFERROR(Recipes2[[#This Row],[Selected Name]], "")</f>
        <v/>
      </c>
      <c r="AC18" s="52" t="str">
        <f>IFERROR(Recipes2[[#This Row],[Selected Quantity]], "")</f>
        <v/>
      </c>
    </row>
    <row r="19" spans="2:29" x14ac:dyDescent="0.25">
      <c r="B19" s="64" t="s">
        <v>61</v>
      </c>
      <c r="C19" s="75" t="s">
        <v>80</v>
      </c>
      <c r="D19" s="76"/>
      <c r="G19" s="3" t="str">
        <f>IFERROR(INDEX(Items[Name], Items[[#This Row],[Condensed]]), "")</f>
        <v/>
      </c>
      <c r="H19" s="7" t="str">
        <f>IFERROR(INDEX(Items[Producers For Selected Count], Items[[#This Row],[Condensed]]), "")</f>
        <v/>
      </c>
      <c r="I19" s="7" t="str">
        <f>IFERROR(INDEX(Items[Fractional Producers for Selected Count], Items[[#This Row],[Condensed]]), "")</f>
        <v/>
      </c>
      <c r="J19" s="5" t="str">
        <f>IFERROR(INDEX(Items[Base Cycle Time], MATCH(ThingsNeeded[[#This Row],[Component]], Items[Name], 0)), "")</f>
        <v/>
      </c>
      <c r="K19" s="5" t="str">
        <f>IFERROR(ROUND(1 / ThingsNeeded[[#This Row],[Produced Per Second]], 2), "")</f>
        <v/>
      </c>
      <c r="L19" s="10" t="str">
        <f>IFERROR(INDEX(Items[Per Second], MATCH(ThingsNeeded[[#This Row],[Component]], Items[Name], 0)), "")</f>
        <v/>
      </c>
      <c r="M19" s="4" t="str">
        <f>IFERROR(LEFT(INDEX(Items[Producer Type], Items[[#This Row],[Condensed]]), 1), "")</f>
        <v/>
      </c>
      <c r="N19" s="58" t="str">
        <f>IFERROR(CEILING(INDEX(Items[Selected Per Second], Items[[#This Row],[Condensed]]), 0.01), "")</f>
        <v/>
      </c>
      <c r="O19" s="5" t="str">
        <f>IFERROR(ROUND(ThingsNeeded[[#This Row],[Producers]] / ThingsNeeded[[#This Row],[Fractional Producers]] * ThingsNeeded[[#This Row],[Needed Per Second]], 2), "")</f>
        <v/>
      </c>
      <c r="P19" s="19" t="str">
        <f>IFERROR(IF(ThingsNeeded[[#This Row],[Used]], 0, ROUND(ThingsNeeded[[#This Row],[Created Per Second]] / ThingsNeeded[[#This Row],[Needed Per Second]] - 1, 2)), "")</f>
        <v/>
      </c>
      <c r="Q19" s="17">
        <f>COUNTIF(ComponentRecipes2[Component], ThingsNeeded[[#This Row],[Component]])</f>
        <v>294</v>
      </c>
      <c r="R19" s="5" t="str">
        <f>IF(ThingsNeeded[[#This Row],[Component]] = "", "", COUNTIF(Recipes[Name], ThingsNeeded[[#This Row],[Component]]))</f>
        <v/>
      </c>
      <c r="S19" s="16" t="b">
        <v>0</v>
      </c>
      <c r="U19" s="6">
        <f t="shared" si="0"/>
        <v>5</v>
      </c>
      <c r="V19" s="51" t="str">
        <f>IFERROR(Recipes[[#This Row],[Selected Name]], "")</f>
        <v/>
      </c>
      <c r="W19" s="51" t="str">
        <f>IFERROR(Recipes[[#This Row],[Selected Component]], "")</f>
        <v/>
      </c>
      <c r="X19" s="52" t="str">
        <f>IFERROR(Recipes[[#This Row],[Selected Quantity]], "")</f>
        <v/>
      </c>
      <c r="Z19" s="53">
        <f t="shared" si="1"/>
        <v>6</v>
      </c>
      <c r="AA19" s="51" t="str">
        <f>IFERROR(Recipes2[[#This Row],[Selected Component]], "")</f>
        <v/>
      </c>
      <c r="AB19" s="51" t="str">
        <f>IFERROR(Recipes2[[#This Row],[Selected Name]], "")</f>
        <v/>
      </c>
      <c r="AC19" s="52" t="str">
        <f>IFERROR(Recipes2[[#This Row],[Selected Quantity]], "")</f>
        <v/>
      </c>
    </row>
    <row r="20" spans="2:29" x14ac:dyDescent="0.25">
      <c r="B20" s="65" t="s">
        <v>194</v>
      </c>
      <c r="C20" s="75" t="s">
        <v>87</v>
      </c>
      <c r="D20" s="76"/>
      <c r="G20" s="3" t="str">
        <f>IFERROR(INDEX(Items[Name], Items[[#This Row],[Condensed]]), "")</f>
        <v/>
      </c>
      <c r="H20" s="7" t="str">
        <f>IFERROR(INDEX(Items[Producers For Selected Count], Items[[#This Row],[Condensed]]), "")</f>
        <v/>
      </c>
      <c r="I20" s="7" t="str">
        <f>IFERROR(INDEX(Items[Fractional Producers for Selected Count], Items[[#This Row],[Condensed]]), "")</f>
        <v/>
      </c>
      <c r="J20" s="5" t="str">
        <f>IFERROR(INDEX(Items[Base Cycle Time], MATCH(ThingsNeeded[[#This Row],[Component]], Items[Name], 0)), "")</f>
        <v/>
      </c>
      <c r="K20" s="5" t="str">
        <f>IFERROR(ROUND(1 / ThingsNeeded[[#This Row],[Produced Per Second]], 2), "")</f>
        <v/>
      </c>
      <c r="L20" s="10" t="str">
        <f>IFERROR(INDEX(Items[Per Second], MATCH(ThingsNeeded[[#This Row],[Component]], Items[Name], 0)), "")</f>
        <v/>
      </c>
      <c r="M20" s="4" t="str">
        <f>IFERROR(LEFT(INDEX(Items[Producer Type], Items[[#This Row],[Condensed]]), 1), "")</f>
        <v/>
      </c>
      <c r="N20" s="58" t="str">
        <f>IFERROR(CEILING(INDEX(Items[Selected Per Second], Items[[#This Row],[Condensed]]), 0.01), "")</f>
        <v/>
      </c>
      <c r="O20" s="5" t="str">
        <f>IFERROR(ROUND(ThingsNeeded[[#This Row],[Producers]] / ThingsNeeded[[#This Row],[Fractional Producers]] * ThingsNeeded[[#This Row],[Needed Per Second]], 2), "")</f>
        <v/>
      </c>
      <c r="P20" s="19" t="str">
        <f>IFERROR(IF(ThingsNeeded[[#This Row],[Used]], 0, ROUND(ThingsNeeded[[#This Row],[Created Per Second]] / ThingsNeeded[[#This Row],[Needed Per Second]] - 1, 2)), "")</f>
        <v/>
      </c>
      <c r="Q20" s="17">
        <f>COUNTIF(ComponentRecipes2[Component], ThingsNeeded[[#This Row],[Component]])</f>
        <v>294</v>
      </c>
      <c r="R20" s="5" t="str">
        <f>IF(ThingsNeeded[[#This Row],[Component]] = "", "", COUNTIF(Recipes[Name], ThingsNeeded[[#This Row],[Component]]))</f>
        <v/>
      </c>
      <c r="S20" s="16" t="b">
        <v>0</v>
      </c>
      <c r="U20" s="6">
        <f t="shared" si="0"/>
        <v>5</v>
      </c>
      <c r="V20" s="51" t="str">
        <f>IFERROR(Recipes[[#This Row],[Selected Name]], "")</f>
        <v/>
      </c>
      <c r="W20" s="51" t="str">
        <f>IFERROR(Recipes[[#This Row],[Selected Component]], "")</f>
        <v/>
      </c>
      <c r="X20" s="52" t="str">
        <f>IFERROR(Recipes[[#This Row],[Selected Quantity]], "")</f>
        <v/>
      </c>
      <c r="Z20" s="53">
        <f t="shared" si="1"/>
        <v>6</v>
      </c>
      <c r="AA20" s="51" t="str">
        <f>IFERROR(Recipes2[[#This Row],[Selected Component]], "")</f>
        <v/>
      </c>
      <c r="AB20" s="51" t="str">
        <f>IFERROR(Recipes2[[#This Row],[Selected Name]], "")</f>
        <v/>
      </c>
      <c r="AC20" s="52" t="str">
        <f>IFERROR(Recipes2[[#This Row],[Selected Quantity]], "")</f>
        <v/>
      </c>
    </row>
    <row r="21" spans="2:29" x14ac:dyDescent="0.25">
      <c r="B21" s="69" t="s">
        <v>92</v>
      </c>
      <c r="C21" s="69"/>
      <c r="D21" s="69"/>
      <c r="G21" s="3" t="str">
        <f>IFERROR(INDEX(Items[Name], Items[[#This Row],[Condensed]]), "")</f>
        <v/>
      </c>
      <c r="H21" s="7" t="str">
        <f>IFERROR(INDEX(Items[Producers For Selected Count], Items[[#This Row],[Condensed]]), "")</f>
        <v/>
      </c>
      <c r="I21" s="7" t="str">
        <f>IFERROR(INDEX(Items[Fractional Producers for Selected Count], Items[[#This Row],[Condensed]]), "")</f>
        <v/>
      </c>
      <c r="J21" s="5" t="str">
        <f>IFERROR(INDEX(Items[Base Cycle Time], MATCH(ThingsNeeded[[#This Row],[Component]], Items[Name], 0)), "")</f>
        <v/>
      </c>
      <c r="K21" s="5" t="str">
        <f>IFERROR(ROUND(1 / ThingsNeeded[[#This Row],[Produced Per Second]], 2), "")</f>
        <v/>
      </c>
      <c r="L21" s="10" t="str">
        <f>IFERROR(INDEX(Items[Per Second], MATCH(ThingsNeeded[[#This Row],[Component]], Items[Name], 0)), "")</f>
        <v/>
      </c>
      <c r="M21" s="4" t="str">
        <f>IFERROR(LEFT(INDEX(Items[Producer Type], Items[[#This Row],[Condensed]]), 1), "")</f>
        <v/>
      </c>
      <c r="N21" s="58" t="str">
        <f>IFERROR(CEILING(INDEX(Items[Selected Per Second], Items[[#This Row],[Condensed]]), 0.01), "")</f>
        <v/>
      </c>
      <c r="O21" s="5" t="str">
        <f>IFERROR(ROUND(ThingsNeeded[[#This Row],[Producers]] / ThingsNeeded[[#This Row],[Fractional Producers]] * ThingsNeeded[[#This Row],[Needed Per Second]], 2), "")</f>
        <v/>
      </c>
      <c r="P21" s="19" t="str">
        <f>IFERROR(IF(ThingsNeeded[[#This Row],[Used]], 0, ROUND(ThingsNeeded[[#This Row],[Created Per Second]] / ThingsNeeded[[#This Row],[Needed Per Second]] - 1, 2)), "")</f>
        <v/>
      </c>
      <c r="Q21" s="17">
        <f>COUNTIF(ComponentRecipes2[Component], ThingsNeeded[[#This Row],[Component]])</f>
        <v>294</v>
      </c>
      <c r="R21" s="5" t="str">
        <f>IF(ThingsNeeded[[#This Row],[Component]] = "", "", COUNTIF(Recipes[Name], ThingsNeeded[[#This Row],[Component]]))</f>
        <v/>
      </c>
      <c r="S21" s="16" t="b">
        <v>0</v>
      </c>
      <c r="U21" s="6">
        <f t="shared" si="0"/>
        <v>5</v>
      </c>
      <c r="V21" s="51" t="str">
        <f>IFERROR(Recipes[[#This Row],[Selected Name]], "")</f>
        <v/>
      </c>
      <c r="W21" s="51" t="str">
        <f>IFERROR(Recipes[[#This Row],[Selected Component]], "")</f>
        <v/>
      </c>
      <c r="X21" s="52" t="str">
        <f>IFERROR(Recipes[[#This Row],[Selected Quantity]], "")</f>
        <v/>
      </c>
      <c r="Z21" s="53">
        <f t="shared" si="1"/>
        <v>6</v>
      </c>
      <c r="AA21" s="51" t="str">
        <f>IFERROR(Recipes2[[#This Row],[Selected Component]], "")</f>
        <v/>
      </c>
      <c r="AB21" s="51" t="str">
        <f>IFERROR(Recipes2[[#This Row],[Selected Name]], "")</f>
        <v/>
      </c>
      <c r="AC21" s="52" t="str">
        <f>IFERROR(Recipes2[[#This Row],[Selected Quantity]], "")</f>
        <v/>
      </c>
    </row>
    <row r="22" spans="2:29" x14ac:dyDescent="0.25">
      <c r="B22" s="70" t="s">
        <v>94</v>
      </c>
      <c r="C22" s="70"/>
      <c r="D22" s="23" t="b">
        <v>1</v>
      </c>
      <c r="G22" s="3" t="str">
        <f>IFERROR(INDEX(Items[Name], Items[[#This Row],[Condensed]]), "")</f>
        <v/>
      </c>
      <c r="H22" s="7" t="str">
        <f>IFERROR(INDEX(Items[Producers For Selected Count], Items[[#This Row],[Condensed]]), "")</f>
        <v/>
      </c>
      <c r="I22" s="7" t="str">
        <f>IFERROR(INDEX(Items[Fractional Producers for Selected Count], Items[[#This Row],[Condensed]]), "")</f>
        <v/>
      </c>
      <c r="J22" s="5" t="str">
        <f>IFERROR(INDEX(Items[Base Cycle Time], MATCH(ThingsNeeded[[#This Row],[Component]], Items[Name], 0)), "")</f>
        <v/>
      </c>
      <c r="K22" s="5" t="str">
        <f>IFERROR(ROUND(1 / ThingsNeeded[[#This Row],[Produced Per Second]], 2), "")</f>
        <v/>
      </c>
      <c r="L22" s="10" t="str">
        <f>IFERROR(INDEX(Items[Per Second], MATCH(ThingsNeeded[[#This Row],[Component]], Items[Name], 0)), "")</f>
        <v/>
      </c>
      <c r="M22" s="4" t="str">
        <f>IFERROR(LEFT(INDEX(Items[Producer Type], Items[[#This Row],[Condensed]]), 1), "")</f>
        <v/>
      </c>
      <c r="N22" s="58" t="str">
        <f>IFERROR(CEILING(INDEX(Items[Selected Per Second], Items[[#This Row],[Condensed]]), 0.01), "")</f>
        <v/>
      </c>
      <c r="O22" s="5" t="str">
        <f>IFERROR(ROUND(ThingsNeeded[[#This Row],[Producers]] / ThingsNeeded[[#This Row],[Fractional Producers]] * ThingsNeeded[[#This Row],[Needed Per Second]], 2), "")</f>
        <v/>
      </c>
      <c r="P22" s="19" t="str">
        <f>IFERROR(IF(ThingsNeeded[[#This Row],[Used]], 0, ROUND(ThingsNeeded[[#This Row],[Created Per Second]] / ThingsNeeded[[#This Row],[Needed Per Second]] - 1, 2)), "")</f>
        <v/>
      </c>
      <c r="Q22" s="17">
        <f>COUNTIF(ComponentRecipes2[Component], ThingsNeeded[[#This Row],[Component]])</f>
        <v>294</v>
      </c>
      <c r="R22" s="5" t="str">
        <f>IF(ThingsNeeded[[#This Row],[Component]] = "", "", COUNTIF(Recipes[Name], ThingsNeeded[[#This Row],[Component]]))</f>
        <v/>
      </c>
      <c r="S22" s="16" t="b">
        <v>0</v>
      </c>
      <c r="U22" s="6">
        <f t="shared" si="0"/>
        <v>5</v>
      </c>
      <c r="V22" s="51" t="str">
        <f>IFERROR(Recipes[[#This Row],[Selected Name]], "")</f>
        <v/>
      </c>
      <c r="W22" s="51" t="str">
        <f>IFERROR(Recipes[[#This Row],[Selected Component]], "")</f>
        <v/>
      </c>
      <c r="X22" s="52" t="str">
        <f>IFERROR(Recipes[[#This Row],[Selected Quantity]], "")</f>
        <v/>
      </c>
      <c r="Z22" s="53">
        <f t="shared" si="1"/>
        <v>6</v>
      </c>
      <c r="AA22" s="51" t="str">
        <f>IFERROR(Recipes2[[#This Row],[Selected Component]], "")</f>
        <v/>
      </c>
      <c r="AB22" s="51" t="str">
        <f>IFERROR(Recipes2[[#This Row],[Selected Name]], "")</f>
        <v/>
      </c>
      <c r="AC22" s="52" t="str">
        <f>IFERROR(Recipes2[[#This Row],[Selected Quantity]], "")</f>
        <v/>
      </c>
    </row>
    <row r="23" spans="2:29" x14ac:dyDescent="0.25">
      <c r="B23" s="71" t="s">
        <v>89</v>
      </c>
      <c r="C23" s="71"/>
      <c r="D23" s="23" t="b">
        <v>1</v>
      </c>
      <c r="G23" s="3" t="str">
        <f>IFERROR(INDEX(Items[Name], Items[[#This Row],[Condensed]]), "")</f>
        <v/>
      </c>
      <c r="H23" s="7" t="str">
        <f>IFERROR(INDEX(Items[Producers For Selected Count], Items[[#This Row],[Condensed]]), "")</f>
        <v/>
      </c>
      <c r="I23" s="7" t="str">
        <f>IFERROR(INDEX(Items[Fractional Producers for Selected Count], Items[[#This Row],[Condensed]]), "")</f>
        <v/>
      </c>
      <c r="J23" s="5" t="str">
        <f>IFERROR(INDEX(Items[Base Cycle Time], MATCH(ThingsNeeded[[#This Row],[Component]], Items[Name], 0)), "")</f>
        <v/>
      </c>
      <c r="K23" s="5" t="str">
        <f>IFERROR(ROUND(1 / ThingsNeeded[[#This Row],[Produced Per Second]], 2), "")</f>
        <v/>
      </c>
      <c r="L23" s="5" t="str">
        <f>IFERROR(INDEX(Items[Per Second], MATCH(ThingsNeeded[[#This Row],[Component]], Items[Name], 0)), "")</f>
        <v/>
      </c>
      <c r="M23" s="4" t="str">
        <f>IFERROR(LEFT(INDEX(Items[Producer Type], Items[[#This Row],[Condensed]]), 1), "")</f>
        <v/>
      </c>
      <c r="N23" s="58" t="str">
        <f>IFERROR(CEILING(INDEX(Items[Selected Per Second], Items[[#This Row],[Condensed]]), 0.01), "")</f>
        <v/>
      </c>
      <c r="O23" s="5" t="str">
        <f>IFERROR(ROUND(ThingsNeeded[[#This Row],[Producers]] / ThingsNeeded[[#This Row],[Fractional Producers]] * ThingsNeeded[[#This Row],[Needed Per Second]], 2), "")</f>
        <v/>
      </c>
      <c r="P23" s="19" t="str">
        <f>IFERROR(IF(ThingsNeeded[[#This Row],[Used]], 0, ROUND(ThingsNeeded[[#This Row],[Created Per Second]] / ThingsNeeded[[#This Row],[Needed Per Second]] - 1, 2)), "")</f>
        <v/>
      </c>
      <c r="Q23" s="17">
        <f>COUNTIF(ComponentRecipes2[Component], ThingsNeeded[[#This Row],[Component]])</f>
        <v>294</v>
      </c>
      <c r="R23" s="5" t="str">
        <f>IF(ThingsNeeded[[#This Row],[Component]] = "", "", COUNTIF(Recipes[Name], ThingsNeeded[[#This Row],[Component]]))</f>
        <v/>
      </c>
      <c r="S23" s="16" t="b">
        <v>0</v>
      </c>
      <c r="U23" s="6">
        <f t="shared" si="0"/>
        <v>5</v>
      </c>
      <c r="V23" s="51" t="str">
        <f>IFERROR(Recipes[[#This Row],[Selected Name]], "")</f>
        <v/>
      </c>
      <c r="W23" s="51" t="str">
        <f>IFERROR(Recipes[[#This Row],[Selected Component]], "")</f>
        <v/>
      </c>
      <c r="X23" s="52" t="str">
        <f>IFERROR(Recipes[[#This Row],[Selected Quantity]], "")</f>
        <v/>
      </c>
      <c r="Z23" s="53">
        <f t="shared" si="1"/>
        <v>6</v>
      </c>
      <c r="AA23" s="51" t="str">
        <f>IFERROR(Recipes2[[#This Row],[Selected Component]], "")</f>
        <v/>
      </c>
      <c r="AB23" s="51" t="str">
        <f>IFERROR(Recipes2[[#This Row],[Selected Name]], "")</f>
        <v/>
      </c>
      <c r="AC23" s="52" t="str">
        <f>IFERROR(Recipes2[[#This Row],[Selected Quantity]], "")</f>
        <v/>
      </c>
    </row>
    <row r="24" spans="2:29" x14ac:dyDescent="0.25">
      <c r="B24" s="72" t="s">
        <v>91</v>
      </c>
      <c r="C24" s="72"/>
      <c r="D24" s="23" t="b">
        <v>1</v>
      </c>
      <c r="G24" s="3" t="str">
        <f>IFERROR(INDEX(Items[Name], Items[[#This Row],[Condensed]]), "")</f>
        <v/>
      </c>
      <c r="H24" s="7" t="str">
        <f>IFERROR(INDEX(Items[Producers For Selected Count], Items[[#This Row],[Condensed]]), "")</f>
        <v/>
      </c>
      <c r="I24" s="7" t="str">
        <f>IFERROR(INDEX(Items[Fractional Producers for Selected Count], Items[[#This Row],[Condensed]]), "")</f>
        <v/>
      </c>
      <c r="J24" s="5" t="str">
        <f>IFERROR(INDEX(Items[Base Cycle Time], MATCH(ThingsNeeded[[#This Row],[Component]], Items[Name], 0)), "")</f>
        <v/>
      </c>
      <c r="K24" s="5" t="str">
        <f>IFERROR(ROUND(1 / ThingsNeeded[[#This Row],[Produced Per Second]], 2), "")</f>
        <v/>
      </c>
      <c r="L24" s="5" t="str">
        <f>IFERROR(INDEX(Items[Per Second], MATCH(ThingsNeeded[[#This Row],[Component]], Items[Name], 0)), "")</f>
        <v/>
      </c>
      <c r="M24" s="4" t="str">
        <f>IFERROR(LEFT(INDEX(Items[Producer Type], Items[[#This Row],[Condensed]]), 1), "")</f>
        <v/>
      </c>
      <c r="N24" s="58" t="str">
        <f>IFERROR(CEILING(INDEX(Items[Selected Per Second], Items[[#This Row],[Condensed]]), 0.01), "")</f>
        <v/>
      </c>
      <c r="O24" s="5" t="str">
        <f>IFERROR(ROUND(ThingsNeeded[[#This Row],[Producers]] / ThingsNeeded[[#This Row],[Fractional Producers]] * ThingsNeeded[[#This Row],[Needed Per Second]], 2), "")</f>
        <v/>
      </c>
      <c r="P24" s="19" t="str">
        <f>IFERROR(IF(ThingsNeeded[[#This Row],[Used]], 0, ROUND(ThingsNeeded[[#This Row],[Created Per Second]] / ThingsNeeded[[#This Row],[Needed Per Second]] - 1, 2)), "")</f>
        <v/>
      </c>
      <c r="Q24" s="17">
        <f>COUNTIF(ComponentRecipes2[Component], ThingsNeeded[[#This Row],[Component]])</f>
        <v>294</v>
      </c>
      <c r="R24" s="5" t="str">
        <f>IF(ThingsNeeded[[#This Row],[Component]] = "", "", COUNTIF(Recipes[Name], ThingsNeeded[[#This Row],[Component]]))</f>
        <v/>
      </c>
      <c r="S24" s="16" t="b">
        <v>0</v>
      </c>
      <c r="U24" s="6">
        <f t="shared" si="0"/>
        <v>5</v>
      </c>
      <c r="V24" s="51" t="str">
        <f>IFERROR(Recipes[[#This Row],[Selected Name]], "")</f>
        <v/>
      </c>
      <c r="W24" s="51" t="str">
        <f>IFERROR(Recipes[[#This Row],[Selected Component]], "")</f>
        <v/>
      </c>
      <c r="X24" s="52" t="str">
        <f>IFERROR(Recipes[[#This Row],[Selected Quantity]], "")</f>
        <v/>
      </c>
      <c r="Z24" s="53">
        <f t="shared" si="1"/>
        <v>6</v>
      </c>
      <c r="AA24" s="51" t="str">
        <f>IFERROR(Recipes2[[#This Row],[Selected Component]], "")</f>
        <v/>
      </c>
      <c r="AB24" s="51" t="str">
        <f>IFERROR(Recipes2[[#This Row],[Selected Name]], "")</f>
        <v/>
      </c>
      <c r="AC24" s="52" t="str">
        <f>IFERROR(Recipes2[[#This Row],[Selected Quantity]], "")</f>
        <v/>
      </c>
    </row>
    <row r="25" spans="2:29" x14ac:dyDescent="0.25">
      <c r="B25" s="73" t="s">
        <v>90</v>
      </c>
      <c r="C25" s="73"/>
      <c r="D25" s="23" t="b">
        <v>1</v>
      </c>
      <c r="G25" s="3" t="str">
        <f>IFERROR(INDEX(Items[Name], Items[[#This Row],[Condensed]]), "")</f>
        <v/>
      </c>
      <c r="H25" s="7" t="str">
        <f>IFERROR(INDEX(Items[Producers For Selected Count], Items[[#This Row],[Condensed]]), "")</f>
        <v/>
      </c>
      <c r="I25" s="7" t="str">
        <f>IFERROR(INDEX(Items[Fractional Producers for Selected Count], Items[[#This Row],[Condensed]]), "")</f>
        <v/>
      </c>
      <c r="J25" s="5" t="str">
        <f>IFERROR(INDEX(Items[Base Cycle Time], MATCH(ThingsNeeded[[#This Row],[Component]], Items[Name], 0)), "")</f>
        <v/>
      </c>
      <c r="K25" s="5" t="str">
        <f>IFERROR(ROUND(1 / ThingsNeeded[[#This Row],[Produced Per Second]], 2), "")</f>
        <v/>
      </c>
      <c r="L25" s="5" t="str">
        <f>IFERROR(INDEX(Items[Per Second], MATCH(ThingsNeeded[[#This Row],[Component]], Items[Name], 0)), "")</f>
        <v/>
      </c>
      <c r="M25" s="4" t="str">
        <f>IFERROR(LEFT(INDEX(Items[Producer Type], Items[[#This Row],[Condensed]]), 1), "")</f>
        <v/>
      </c>
      <c r="N25" s="58" t="str">
        <f>IFERROR(CEILING(INDEX(Items[Selected Per Second], Items[[#This Row],[Condensed]]), 0.01), "")</f>
        <v/>
      </c>
      <c r="O25" s="5" t="str">
        <f>IFERROR(ROUND(ThingsNeeded[[#This Row],[Producers]] / ThingsNeeded[[#This Row],[Fractional Producers]] * ThingsNeeded[[#This Row],[Needed Per Second]], 2), "")</f>
        <v/>
      </c>
      <c r="P25" s="19" t="str">
        <f>IFERROR(IF(ThingsNeeded[[#This Row],[Used]], 0, ROUND(ThingsNeeded[[#This Row],[Created Per Second]] / ThingsNeeded[[#This Row],[Needed Per Second]] - 1, 2)), "")</f>
        <v/>
      </c>
      <c r="Q25" s="17">
        <f>COUNTIF(ComponentRecipes2[Component], ThingsNeeded[[#This Row],[Component]])</f>
        <v>294</v>
      </c>
      <c r="R25" s="5" t="str">
        <f>IF(ThingsNeeded[[#This Row],[Component]] = "", "", COUNTIF(Recipes[Name], ThingsNeeded[[#This Row],[Component]]))</f>
        <v/>
      </c>
      <c r="S25" s="16" t="b">
        <v>0</v>
      </c>
      <c r="U25" s="6">
        <f t="shared" si="0"/>
        <v>5</v>
      </c>
      <c r="V25" s="51" t="str">
        <f>IFERROR(Recipes[[#This Row],[Selected Name]], "")</f>
        <v/>
      </c>
      <c r="W25" s="51" t="str">
        <f>IFERROR(Recipes[[#This Row],[Selected Component]], "")</f>
        <v/>
      </c>
      <c r="X25" s="52" t="str">
        <f>IFERROR(Recipes[[#This Row],[Selected Quantity]], "")</f>
        <v/>
      </c>
      <c r="Z25" s="53">
        <f t="shared" si="1"/>
        <v>6</v>
      </c>
      <c r="AA25" s="51" t="str">
        <f>IFERROR(Recipes2[[#This Row],[Selected Component]], "")</f>
        <v/>
      </c>
      <c r="AB25" s="51" t="str">
        <f>IFERROR(Recipes2[[#This Row],[Selected Name]], "")</f>
        <v/>
      </c>
      <c r="AC25" s="52" t="str">
        <f>IFERROR(Recipes2[[#This Row],[Selected Quantity]], "")</f>
        <v/>
      </c>
    </row>
    <row r="26" spans="2:29" x14ac:dyDescent="0.25">
      <c r="B26" s="74" t="s">
        <v>199</v>
      </c>
      <c r="C26" s="74"/>
      <c r="D26" s="23" t="b">
        <v>0</v>
      </c>
      <c r="G26" s="3" t="str">
        <f>IFERROR(INDEX(Items[Name], Items[[#This Row],[Condensed]]), "")</f>
        <v/>
      </c>
      <c r="H26" s="7" t="str">
        <f>IFERROR(INDEX(Items[Producers For Selected Count], Items[[#This Row],[Condensed]]), "")</f>
        <v/>
      </c>
      <c r="I26" s="7" t="str">
        <f>IFERROR(INDEX(Items[Fractional Producers for Selected Count], Items[[#This Row],[Condensed]]), "")</f>
        <v/>
      </c>
      <c r="J26" s="5" t="str">
        <f>IFERROR(INDEX(Items[Base Cycle Time], MATCH(ThingsNeeded[[#This Row],[Component]], Items[Name], 0)), "")</f>
        <v/>
      </c>
      <c r="K26" s="5" t="str">
        <f>IFERROR(ROUND(1 / ThingsNeeded[[#This Row],[Produced Per Second]], 2), "")</f>
        <v/>
      </c>
      <c r="L26" s="5" t="str">
        <f>IFERROR(INDEX(Items[Per Second], MATCH(ThingsNeeded[[#This Row],[Component]], Items[Name], 0)), "")</f>
        <v/>
      </c>
      <c r="M26" s="4" t="str">
        <f>IFERROR(LEFT(INDEX(Items[Producer Type], Items[[#This Row],[Condensed]]), 1), "")</f>
        <v/>
      </c>
      <c r="N26" s="58" t="str">
        <f>IFERROR(CEILING(INDEX(Items[Selected Per Second], Items[[#This Row],[Condensed]]), 0.01), "")</f>
        <v/>
      </c>
      <c r="O26" s="5" t="str">
        <f>IFERROR(ROUND(ThingsNeeded[[#This Row],[Producers]] / ThingsNeeded[[#This Row],[Fractional Producers]] * ThingsNeeded[[#This Row],[Needed Per Second]], 2), "")</f>
        <v/>
      </c>
      <c r="P26" s="19" t="str">
        <f>IFERROR(IF(ThingsNeeded[[#This Row],[Used]], 0, ROUND(ThingsNeeded[[#This Row],[Created Per Second]] / ThingsNeeded[[#This Row],[Needed Per Second]] - 1, 2)), "")</f>
        <v/>
      </c>
      <c r="Q26" s="17">
        <f>COUNTIF(ComponentRecipes2[Component], ThingsNeeded[[#This Row],[Component]])</f>
        <v>294</v>
      </c>
      <c r="R26" s="5" t="str">
        <f>IF(ThingsNeeded[[#This Row],[Component]] = "", "", COUNTIF(Recipes[Name], ThingsNeeded[[#This Row],[Component]]))</f>
        <v/>
      </c>
      <c r="S26" s="16" t="b">
        <v>0</v>
      </c>
      <c r="U26" s="6">
        <f t="shared" si="0"/>
        <v>5</v>
      </c>
      <c r="V26" s="51" t="str">
        <f>IFERROR(Recipes[[#This Row],[Selected Name]], "")</f>
        <v/>
      </c>
      <c r="W26" s="51" t="str">
        <f>IFERROR(Recipes[[#This Row],[Selected Component]], "")</f>
        <v/>
      </c>
      <c r="X26" s="52" t="str">
        <f>IFERROR(Recipes[[#This Row],[Selected Quantity]], "")</f>
        <v/>
      </c>
      <c r="Z26" s="53">
        <f t="shared" si="1"/>
        <v>6</v>
      </c>
      <c r="AA26" s="51" t="str">
        <f>IFERROR(Recipes2[[#This Row],[Selected Component]], "")</f>
        <v/>
      </c>
      <c r="AB26" s="51" t="str">
        <f>IFERROR(Recipes2[[#This Row],[Selected Name]], "")</f>
        <v/>
      </c>
      <c r="AC26" s="52" t="str">
        <f>IFERROR(Recipes2[[#This Row],[Selected Quantity]], "")</f>
        <v/>
      </c>
    </row>
    <row r="27" spans="2:29" x14ac:dyDescent="0.25">
      <c r="B27" s="66" t="s">
        <v>88</v>
      </c>
      <c r="C27" s="66"/>
      <c r="D27" s="23" t="b">
        <v>0</v>
      </c>
      <c r="G27" s="3" t="str">
        <f>IFERROR(INDEX(Items[Name], Items[[#This Row],[Condensed]]), "")</f>
        <v/>
      </c>
      <c r="H27" s="7" t="str">
        <f>IFERROR(INDEX(Items[Producers For Selected Count], Items[[#This Row],[Condensed]]), "")</f>
        <v/>
      </c>
      <c r="I27" s="7" t="str">
        <f>IFERROR(INDEX(Items[Fractional Producers for Selected Count], Items[[#This Row],[Condensed]]), "")</f>
        <v/>
      </c>
      <c r="J27" s="5" t="str">
        <f>IFERROR(INDEX(Items[Base Cycle Time], MATCH(ThingsNeeded[[#This Row],[Component]], Items[Name], 0)), "")</f>
        <v/>
      </c>
      <c r="K27" s="5" t="str">
        <f>IFERROR(ROUND(1 / ThingsNeeded[[#This Row],[Produced Per Second]], 2), "")</f>
        <v/>
      </c>
      <c r="L27" s="5" t="str">
        <f>IFERROR(INDEX(Items[Per Second], MATCH(ThingsNeeded[[#This Row],[Component]], Items[Name], 0)), "")</f>
        <v/>
      </c>
      <c r="M27" s="4" t="str">
        <f>IFERROR(LEFT(INDEX(Items[Producer Type], Items[[#This Row],[Condensed]]), 1), "")</f>
        <v/>
      </c>
      <c r="N27" s="58" t="str">
        <f>IFERROR(CEILING(INDEX(Items[Selected Per Second], Items[[#This Row],[Condensed]]), 0.01), "")</f>
        <v/>
      </c>
      <c r="O27" s="5" t="str">
        <f>IFERROR(ROUND(ThingsNeeded[[#This Row],[Producers]] / ThingsNeeded[[#This Row],[Fractional Producers]] * ThingsNeeded[[#This Row],[Needed Per Second]], 2), "")</f>
        <v/>
      </c>
      <c r="P27" s="19" t="str">
        <f>IFERROR(IF(ThingsNeeded[[#This Row],[Used]], 0, ROUND(ThingsNeeded[[#This Row],[Created Per Second]] / ThingsNeeded[[#This Row],[Needed Per Second]] - 1, 2)), "")</f>
        <v/>
      </c>
      <c r="Q27" s="17">
        <f>COUNTIF(ComponentRecipes2[Component], ThingsNeeded[[#This Row],[Component]])</f>
        <v>294</v>
      </c>
      <c r="R27" s="5" t="str">
        <f>IF(ThingsNeeded[[#This Row],[Component]] = "", "", COUNTIF(Recipes[Name], ThingsNeeded[[#This Row],[Component]]))</f>
        <v/>
      </c>
      <c r="S27" s="16" t="b">
        <v>0</v>
      </c>
      <c r="U27" s="6">
        <f t="shared" si="0"/>
        <v>5</v>
      </c>
      <c r="V27" s="51" t="str">
        <f>IFERROR(Recipes[[#This Row],[Selected Name]], "")</f>
        <v/>
      </c>
      <c r="W27" s="51" t="str">
        <f>IFERROR(Recipes[[#This Row],[Selected Component]], "")</f>
        <v/>
      </c>
      <c r="X27" s="52" t="str">
        <f>IFERROR(Recipes[[#This Row],[Selected Quantity]], "")</f>
        <v/>
      </c>
      <c r="Z27" s="53">
        <f t="shared" si="1"/>
        <v>6</v>
      </c>
      <c r="AA27" s="51" t="str">
        <f>IFERROR(Recipes2[[#This Row],[Selected Component]], "")</f>
        <v/>
      </c>
      <c r="AB27" s="51" t="str">
        <f>IFERROR(Recipes2[[#This Row],[Selected Name]], "")</f>
        <v/>
      </c>
      <c r="AC27" s="52" t="str">
        <f>IFERROR(Recipes2[[#This Row],[Selected Quantity]], "")</f>
        <v/>
      </c>
    </row>
    <row r="28" spans="2:29" x14ac:dyDescent="0.25">
      <c r="B28" s="26" t="s">
        <v>132</v>
      </c>
      <c r="C28" s="47" t="s">
        <v>100</v>
      </c>
      <c r="D28" s="47" t="s">
        <v>133</v>
      </c>
      <c r="G28" s="3" t="str">
        <f>IFERROR(INDEX(Items[Name], Items[[#This Row],[Condensed]]), "")</f>
        <v/>
      </c>
      <c r="H28" s="7" t="str">
        <f>IFERROR(INDEX(Items[Producers For Selected Count], Items[[#This Row],[Condensed]]), "")</f>
        <v/>
      </c>
      <c r="I28" s="7" t="str">
        <f>IFERROR(INDEX(Items[Fractional Producers for Selected Count], Items[[#This Row],[Condensed]]), "")</f>
        <v/>
      </c>
      <c r="J28" s="5" t="str">
        <f>IFERROR(INDEX(Items[Base Cycle Time], MATCH(ThingsNeeded[[#This Row],[Component]], Items[Name], 0)), "")</f>
        <v/>
      </c>
      <c r="K28" s="5" t="str">
        <f>IFERROR(ROUND(1 / ThingsNeeded[[#This Row],[Produced Per Second]], 2), "")</f>
        <v/>
      </c>
      <c r="L28" s="5" t="str">
        <f>IFERROR(INDEX(Items[Per Second], MATCH(ThingsNeeded[[#This Row],[Component]], Items[Name], 0)), "")</f>
        <v/>
      </c>
      <c r="M28" s="4" t="str">
        <f>IFERROR(LEFT(INDEX(Items[Producer Type], Items[[#This Row],[Condensed]]), 1), "")</f>
        <v/>
      </c>
      <c r="N28" s="58" t="str">
        <f>IFERROR(CEILING(INDEX(Items[Selected Per Second], Items[[#This Row],[Condensed]]), 0.01), "")</f>
        <v/>
      </c>
      <c r="O28" s="5" t="str">
        <f>IFERROR(ROUND(ThingsNeeded[[#This Row],[Producers]] / ThingsNeeded[[#This Row],[Fractional Producers]] * ThingsNeeded[[#This Row],[Needed Per Second]], 2), "")</f>
        <v/>
      </c>
      <c r="P28" s="19" t="str">
        <f>IFERROR(IF(ThingsNeeded[[#This Row],[Used]], 0, ROUND(ThingsNeeded[[#This Row],[Created Per Second]] / ThingsNeeded[[#This Row],[Needed Per Second]] - 1, 2)), "")</f>
        <v/>
      </c>
      <c r="Q28" s="17">
        <f>COUNTIF(ComponentRecipes2[Component], ThingsNeeded[[#This Row],[Component]])</f>
        <v>294</v>
      </c>
      <c r="R28" s="5" t="str">
        <f>IF(ThingsNeeded[[#This Row],[Component]] = "", "", COUNTIF(Recipes[Name], ThingsNeeded[[#This Row],[Component]]))</f>
        <v/>
      </c>
      <c r="S28" s="16" t="b">
        <v>0</v>
      </c>
      <c r="U28" s="6">
        <f t="shared" si="0"/>
        <v>5</v>
      </c>
      <c r="V28" s="51" t="str">
        <f>IFERROR(Recipes[[#This Row],[Selected Name]], "")</f>
        <v/>
      </c>
      <c r="W28" s="51" t="str">
        <f>IFERROR(Recipes[[#This Row],[Selected Component]], "")</f>
        <v/>
      </c>
      <c r="X28" s="52" t="str">
        <f>IFERROR(Recipes[[#This Row],[Selected Quantity]], "")</f>
        <v/>
      </c>
      <c r="Z28" s="53">
        <f t="shared" si="1"/>
        <v>6</v>
      </c>
      <c r="AA28" s="51" t="str">
        <f>IFERROR(Recipes2[[#This Row],[Selected Component]], "")</f>
        <v/>
      </c>
      <c r="AB28" s="51" t="str">
        <f>IFERROR(Recipes2[[#This Row],[Selected Name]], "")</f>
        <v/>
      </c>
      <c r="AC28" s="52" t="str">
        <f>IFERROR(Recipes2[[#This Row],[Selected Quantity]], "")</f>
        <v/>
      </c>
    </row>
    <row r="29" spans="2:29" x14ac:dyDescent="0.25">
      <c r="B29" s="43" t="s">
        <v>195</v>
      </c>
      <c r="C29" s="45"/>
      <c r="D29" s="49"/>
      <c r="G29" s="3" t="str">
        <f>IFERROR(INDEX(Items[Name], Items[[#This Row],[Condensed]]), "")</f>
        <v/>
      </c>
      <c r="H29" s="7" t="str">
        <f>IFERROR(INDEX(Items[Producers For Selected Count], Items[[#This Row],[Condensed]]), "")</f>
        <v/>
      </c>
      <c r="I29" s="7" t="str">
        <f>IFERROR(INDEX(Items[Fractional Producers for Selected Count], Items[[#This Row],[Condensed]]), "")</f>
        <v/>
      </c>
      <c r="J29" s="5" t="str">
        <f>IFERROR(INDEX(Items[Base Cycle Time], MATCH(ThingsNeeded[[#This Row],[Component]], Items[Name], 0)), "")</f>
        <v/>
      </c>
      <c r="K29" s="5" t="str">
        <f>IFERROR(ROUND(1 / ThingsNeeded[[#This Row],[Produced Per Second]], 2), "")</f>
        <v/>
      </c>
      <c r="L29" s="5" t="str">
        <f>IFERROR(INDEX(Items[Per Second], MATCH(ThingsNeeded[[#This Row],[Component]], Items[Name], 0)), "")</f>
        <v/>
      </c>
      <c r="M29" s="4" t="str">
        <f>IFERROR(LEFT(INDEX(Items[Producer Type], Items[[#This Row],[Condensed]]), 1), "")</f>
        <v/>
      </c>
      <c r="N29" s="58" t="str">
        <f>IFERROR(CEILING(INDEX(Items[Selected Per Second], Items[[#This Row],[Condensed]]), 0.01), "")</f>
        <v/>
      </c>
      <c r="O29" s="5" t="str">
        <f>IFERROR(ROUND(ThingsNeeded[[#This Row],[Producers]] / ThingsNeeded[[#This Row],[Fractional Producers]] * ThingsNeeded[[#This Row],[Needed Per Second]], 2), "")</f>
        <v/>
      </c>
      <c r="P29" s="19" t="str">
        <f>IFERROR(IF(ThingsNeeded[[#This Row],[Used]], 0, ROUND(ThingsNeeded[[#This Row],[Created Per Second]] / ThingsNeeded[[#This Row],[Needed Per Second]] - 1, 2)), "")</f>
        <v/>
      </c>
      <c r="Q29" s="17">
        <f>COUNTIF(ComponentRecipes2[Component], ThingsNeeded[[#This Row],[Component]])</f>
        <v>294</v>
      </c>
      <c r="R29" s="5" t="str">
        <f>IF(ThingsNeeded[[#This Row],[Component]] = "", "", COUNTIF(Recipes[Name], ThingsNeeded[[#This Row],[Component]]))</f>
        <v/>
      </c>
      <c r="S29" s="16" t="b">
        <v>0</v>
      </c>
      <c r="U29" s="6">
        <f t="shared" si="0"/>
        <v>5</v>
      </c>
      <c r="V29" s="51" t="str">
        <f>IFERROR(Recipes[[#This Row],[Selected Name]], "")</f>
        <v/>
      </c>
      <c r="W29" s="51" t="str">
        <f>IFERROR(Recipes[[#This Row],[Selected Component]], "")</f>
        <v/>
      </c>
      <c r="X29" s="52" t="str">
        <f>IFERROR(Recipes[[#This Row],[Selected Quantity]], "")</f>
        <v/>
      </c>
      <c r="Z29" s="53">
        <f t="shared" si="1"/>
        <v>6</v>
      </c>
      <c r="AA29" s="51" t="str">
        <f>IFERROR(Recipes2[[#This Row],[Selected Component]], "")</f>
        <v/>
      </c>
      <c r="AB29" s="51" t="str">
        <f>IFERROR(Recipes2[[#This Row],[Selected Name]], "")</f>
        <v/>
      </c>
      <c r="AC29" s="52" t="str">
        <f>IFERROR(Recipes2[[#This Row],[Selected Quantity]], "")</f>
        <v/>
      </c>
    </row>
    <row r="30" spans="2:29" x14ac:dyDescent="0.25">
      <c r="B30" s="63" t="s">
        <v>60</v>
      </c>
      <c r="C30" s="46">
        <v>3.125</v>
      </c>
      <c r="D30" s="50"/>
      <c r="G30" s="3" t="str">
        <f>IFERROR(INDEX(Items[Name], Items[[#This Row],[Condensed]]), "")</f>
        <v/>
      </c>
      <c r="H30" s="7" t="str">
        <f>IFERROR(INDEX(Items[Producers For Selected Count], Items[[#This Row],[Condensed]]), "")</f>
        <v/>
      </c>
      <c r="I30" s="7" t="str">
        <f>IFERROR(INDEX(Items[Fractional Producers for Selected Count], Items[[#This Row],[Condensed]]), "")</f>
        <v/>
      </c>
      <c r="J30" s="5" t="str">
        <f>IFERROR(INDEX(Items[Base Cycle Time], MATCH(ThingsNeeded[[#This Row],[Component]], Items[Name], 0)), "")</f>
        <v/>
      </c>
      <c r="K30" s="5" t="str">
        <f>IFERROR(ROUND(1 / ThingsNeeded[[#This Row],[Produced Per Second]], 2), "")</f>
        <v/>
      </c>
      <c r="L30" s="5" t="str">
        <f>IFERROR(INDEX(Items[Per Second], MATCH(ThingsNeeded[[#This Row],[Component]], Items[Name], 0)), "")</f>
        <v/>
      </c>
      <c r="M30" s="4" t="str">
        <f>IFERROR(LEFT(INDEX(Items[Producer Type], Items[[#This Row],[Condensed]]), 1), "")</f>
        <v/>
      </c>
      <c r="N30" s="58" t="str">
        <f>IFERROR(CEILING(INDEX(Items[Selected Per Second], Items[[#This Row],[Condensed]]), 0.01), "")</f>
        <v/>
      </c>
      <c r="O30" s="5" t="str">
        <f>IFERROR(ROUND(ThingsNeeded[[#This Row],[Producers]] / ThingsNeeded[[#This Row],[Fractional Producers]] * ThingsNeeded[[#This Row],[Needed Per Second]], 2), "")</f>
        <v/>
      </c>
      <c r="P30" s="19" t="str">
        <f>IFERROR(IF(ThingsNeeded[[#This Row],[Used]], 0, ROUND(ThingsNeeded[[#This Row],[Created Per Second]] / ThingsNeeded[[#This Row],[Needed Per Second]] - 1, 2)), "")</f>
        <v/>
      </c>
      <c r="Q30" s="17">
        <f>COUNTIF(ComponentRecipes2[Component], ThingsNeeded[[#This Row],[Component]])</f>
        <v>294</v>
      </c>
      <c r="R30" s="5" t="str">
        <f>IF(ThingsNeeded[[#This Row],[Component]] = "", "", COUNTIF(Recipes[Name], ThingsNeeded[[#This Row],[Component]]))</f>
        <v/>
      </c>
      <c r="S30" s="16" t="b">
        <v>0</v>
      </c>
      <c r="U30" s="6">
        <f t="shared" si="0"/>
        <v>5</v>
      </c>
      <c r="V30" s="51" t="str">
        <f>IFERROR(Recipes[[#This Row],[Selected Name]], "")</f>
        <v/>
      </c>
      <c r="W30" s="51" t="str">
        <f>IFERROR(Recipes[[#This Row],[Selected Component]], "")</f>
        <v/>
      </c>
      <c r="X30" s="52" t="str">
        <f>IFERROR(Recipes[[#This Row],[Selected Quantity]], "")</f>
        <v/>
      </c>
      <c r="Z30" s="53">
        <f t="shared" si="1"/>
        <v>6</v>
      </c>
      <c r="AA30" s="51" t="str">
        <f>IFERROR(Recipes2[[#This Row],[Selected Component]], "")</f>
        <v/>
      </c>
      <c r="AB30" s="51" t="str">
        <f>IFERROR(Recipes2[[#This Row],[Selected Name]], "")</f>
        <v/>
      </c>
      <c r="AC30" s="52" t="str">
        <f>IFERROR(Recipes2[[#This Row],[Selected Quantity]], "")</f>
        <v/>
      </c>
    </row>
    <row r="31" spans="2:29" x14ac:dyDescent="0.25">
      <c r="B31" s="62" t="s">
        <v>61</v>
      </c>
      <c r="C31" s="45">
        <v>6</v>
      </c>
      <c r="D31" s="49"/>
      <c r="G31" s="3" t="str">
        <f>IFERROR(INDEX(Items[Name], Items[[#This Row],[Condensed]]), "")</f>
        <v/>
      </c>
      <c r="H31" s="7" t="str">
        <f>IFERROR(INDEX(Items[Producers For Selected Count], Items[[#This Row],[Condensed]]), "")</f>
        <v/>
      </c>
      <c r="I31" s="7" t="str">
        <f>IFERROR(INDEX(Items[Fractional Producers for Selected Count], Items[[#This Row],[Condensed]]), "")</f>
        <v/>
      </c>
      <c r="J31" s="5" t="str">
        <f>IFERROR(INDEX(Items[Base Cycle Time], MATCH(ThingsNeeded[[#This Row],[Component]], Items[Name], 0)), "")</f>
        <v/>
      </c>
      <c r="K31" s="5" t="str">
        <f>IFERROR(ROUND(1 / ThingsNeeded[[#This Row],[Produced Per Second]], 2), "")</f>
        <v/>
      </c>
      <c r="L31" s="5" t="str">
        <f>IFERROR(INDEX(Items[Per Second], MATCH(ThingsNeeded[[#This Row],[Component]], Items[Name], 0)), "")</f>
        <v/>
      </c>
      <c r="M31" s="4" t="str">
        <f>IFERROR(LEFT(INDEX(Items[Producer Type], Items[[#This Row],[Condensed]]), 1), "")</f>
        <v/>
      </c>
      <c r="N31" s="58" t="str">
        <f>IFERROR(CEILING(INDEX(Items[Selected Per Second], Items[[#This Row],[Condensed]]), 0.01), "")</f>
        <v/>
      </c>
      <c r="O31" s="5" t="str">
        <f>IFERROR(ROUND(ThingsNeeded[[#This Row],[Producers]] / ThingsNeeded[[#This Row],[Fractional Producers]] * ThingsNeeded[[#This Row],[Needed Per Second]], 2), "")</f>
        <v/>
      </c>
      <c r="P31" s="19" t="str">
        <f>IFERROR(IF(ThingsNeeded[[#This Row],[Used]], 0, ROUND(ThingsNeeded[[#This Row],[Created Per Second]] / ThingsNeeded[[#This Row],[Needed Per Second]] - 1, 2)), "")</f>
        <v/>
      </c>
      <c r="Q31" s="17">
        <f>COUNTIF(ComponentRecipes2[Component], ThingsNeeded[[#This Row],[Component]])</f>
        <v>294</v>
      </c>
      <c r="R31" s="5" t="str">
        <f>IF(ThingsNeeded[[#This Row],[Component]] = "", "", COUNTIF(Recipes[Name], ThingsNeeded[[#This Row],[Component]]))</f>
        <v/>
      </c>
      <c r="S31" s="16" t="b">
        <v>0</v>
      </c>
      <c r="U31" s="6">
        <f t="shared" si="0"/>
        <v>5</v>
      </c>
      <c r="V31" s="51" t="str">
        <f>IFERROR(Recipes[[#This Row],[Selected Name]], "")</f>
        <v/>
      </c>
      <c r="W31" s="51" t="str">
        <f>IFERROR(Recipes[[#This Row],[Selected Component]], "")</f>
        <v/>
      </c>
      <c r="X31" s="52" t="str">
        <f>IFERROR(Recipes[[#This Row],[Selected Quantity]], "")</f>
        <v/>
      </c>
      <c r="Z31" s="53">
        <f t="shared" si="1"/>
        <v>6</v>
      </c>
      <c r="AA31" s="51" t="str">
        <f>IFERROR(Recipes2[[#This Row],[Selected Component]], "")</f>
        <v/>
      </c>
      <c r="AB31" s="51" t="str">
        <f>IFERROR(Recipes2[[#This Row],[Selected Name]], "")</f>
        <v/>
      </c>
      <c r="AC31" s="52" t="str">
        <f>IFERROR(Recipes2[[#This Row],[Selected Quantity]], "")</f>
        <v/>
      </c>
    </row>
    <row r="32" spans="2:29" x14ac:dyDescent="0.25">
      <c r="B32" s="60" t="s">
        <v>194</v>
      </c>
      <c r="C32" s="45"/>
      <c r="D32" s="49"/>
      <c r="G32" s="3" t="str">
        <f>IFERROR(INDEX(Items[Name], Items[[#This Row],[Condensed]]), "")</f>
        <v/>
      </c>
      <c r="H32" s="7" t="str">
        <f>IFERROR(INDEX(Items[Producers For Selected Count], Items[[#This Row],[Condensed]]), "")</f>
        <v/>
      </c>
      <c r="I32" s="7" t="str">
        <f>IFERROR(INDEX(Items[Fractional Producers for Selected Count], Items[[#This Row],[Condensed]]), "")</f>
        <v/>
      </c>
      <c r="J32" s="5" t="str">
        <f>IFERROR(INDEX(Items[Base Cycle Time], MATCH(ThingsNeeded[[#This Row],[Component]], Items[Name], 0)), "")</f>
        <v/>
      </c>
      <c r="K32" s="5" t="str">
        <f>IFERROR(ROUND(1 / ThingsNeeded[[#This Row],[Produced Per Second]], 2), "")</f>
        <v/>
      </c>
      <c r="L32" s="5" t="str">
        <f>IFERROR(INDEX(Items[Per Second], MATCH(ThingsNeeded[[#This Row],[Component]], Items[Name], 0)), "")</f>
        <v/>
      </c>
      <c r="M32" s="4" t="str">
        <f>IFERROR(LEFT(INDEX(Items[Producer Type], Items[[#This Row],[Condensed]]), 1), "")</f>
        <v/>
      </c>
      <c r="N32" s="58" t="str">
        <f>IFERROR(CEILING(INDEX(Items[Selected Per Second], Items[[#This Row],[Condensed]]), 0.01), "")</f>
        <v/>
      </c>
      <c r="O32" s="5" t="str">
        <f>IFERROR(ROUND(ThingsNeeded[[#This Row],[Producers]] / ThingsNeeded[[#This Row],[Fractional Producers]] * ThingsNeeded[[#This Row],[Needed Per Second]], 2), "")</f>
        <v/>
      </c>
      <c r="P32" s="19" t="str">
        <f>IFERROR(IF(ThingsNeeded[[#This Row],[Used]], 0, ROUND(ThingsNeeded[[#This Row],[Created Per Second]] / ThingsNeeded[[#This Row],[Needed Per Second]] - 1, 2)), "")</f>
        <v/>
      </c>
      <c r="Q32" s="17">
        <f>COUNTIF(ComponentRecipes2[Component], ThingsNeeded[[#This Row],[Component]])</f>
        <v>294</v>
      </c>
      <c r="R32" s="5" t="str">
        <f>IF(ThingsNeeded[[#This Row],[Component]] = "", "", COUNTIF(Recipes[Name], ThingsNeeded[[#This Row],[Component]]))</f>
        <v/>
      </c>
      <c r="S32" s="16" t="b">
        <v>0</v>
      </c>
      <c r="U32" s="6">
        <f t="shared" si="0"/>
        <v>5</v>
      </c>
      <c r="V32" s="51" t="str">
        <f>IFERROR(Recipes[[#This Row],[Selected Name]], "")</f>
        <v/>
      </c>
      <c r="W32" s="51" t="str">
        <f>IFERROR(Recipes[[#This Row],[Selected Component]], "")</f>
        <v/>
      </c>
      <c r="X32" s="52" t="str">
        <f>IFERROR(Recipes[[#This Row],[Selected Quantity]], "")</f>
        <v/>
      </c>
      <c r="Z32" s="53">
        <f t="shared" si="1"/>
        <v>6</v>
      </c>
      <c r="AA32" s="51" t="str">
        <f>IFERROR(Recipes2[[#This Row],[Selected Component]], "")</f>
        <v/>
      </c>
      <c r="AB32" s="51" t="str">
        <f>IFERROR(Recipes2[[#This Row],[Selected Name]], "")</f>
        <v/>
      </c>
      <c r="AC32" s="52" t="str">
        <f>IFERROR(Recipes2[[#This Row],[Selected Quantity]], "")</f>
        <v/>
      </c>
    </row>
    <row r="33" spans="2:29" x14ac:dyDescent="0.25">
      <c r="B33" s="61" t="s">
        <v>93</v>
      </c>
      <c r="C33" s="45"/>
      <c r="D33" s="49"/>
      <c r="G33" s="3" t="str">
        <f>IFERROR(INDEX(Items[Name], Items[[#This Row],[Condensed]]), "")</f>
        <v/>
      </c>
      <c r="H33" s="7" t="str">
        <f>IFERROR(INDEX(Items[Producers For Selected Count], Items[[#This Row],[Condensed]]), "")</f>
        <v/>
      </c>
      <c r="I33" s="7" t="str">
        <f>IFERROR(INDEX(Items[Fractional Producers for Selected Count], Items[[#This Row],[Condensed]]), "")</f>
        <v/>
      </c>
      <c r="J33" s="5" t="str">
        <f>IFERROR(INDEX(Items[Base Cycle Time], MATCH(ThingsNeeded[[#This Row],[Component]], Items[Name], 0)), "")</f>
        <v/>
      </c>
      <c r="K33" s="5" t="str">
        <f>IFERROR(ROUND(1 / ThingsNeeded[[#This Row],[Produced Per Second]], 2), "")</f>
        <v/>
      </c>
      <c r="L33" s="5" t="str">
        <f>IFERROR(INDEX(Items[Per Second], MATCH(ThingsNeeded[[#This Row],[Component]], Items[Name], 0)), "")</f>
        <v/>
      </c>
      <c r="M33" s="4" t="str">
        <f>IFERROR(LEFT(INDEX(Items[Producer Type], Items[[#This Row],[Condensed]]), 1), "")</f>
        <v/>
      </c>
      <c r="N33" s="58" t="str">
        <f>IFERROR(CEILING(INDEX(Items[Selected Per Second], Items[[#This Row],[Condensed]]), 0.01), "")</f>
        <v/>
      </c>
      <c r="O33" s="5" t="str">
        <f>IFERROR(ROUND(ThingsNeeded[[#This Row],[Producers]] / ThingsNeeded[[#This Row],[Fractional Producers]] * ThingsNeeded[[#This Row],[Needed Per Second]], 2), "")</f>
        <v/>
      </c>
      <c r="P33" s="19" t="str">
        <f>IFERROR(IF(ThingsNeeded[[#This Row],[Used]], 0, ROUND(ThingsNeeded[[#This Row],[Created Per Second]] / ThingsNeeded[[#This Row],[Needed Per Second]] - 1, 2)), "")</f>
        <v/>
      </c>
      <c r="Q33" s="17">
        <f>COUNTIF(ComponentRecipes2[Component], ThingsNeeded[[#This Row],[Component]])</f>
        <v>294</v>
      </c>
      <c r="R33" s="5" t="str">
        <f>IF(ThingsNeeded[[#This Row],[Component]] = "", "", COUNTIF(Recipes[Name], ThingsNeeded[[#This Row],[Component]]))</f>
        <v/>
      </c>
      <c r="S33" s="16" t="b">
        <v>0</v>
      </c>
      <c r="U33" s="6">
        <f t="shared" si="0"/>
        <v>5</v>
      </c>
      <c r="V33" s="51" t="str">
        <f>IFERROR(Recipes[[#This Row],[Selected Name]], "")</f>
        <v/>
      </c>
      <c r="W33" s="51" t="str">
        <f>IFERROR(Recipes[[#This Row],[Selected Component]], "")</f>
        <v/>
      </c>
      <c r="X33" s="52" t="str">
        <f>IFERROR(Recipes[[#This Row],[Selected Quantity]], "")</f>
        <v/>
      </c>
      <c r="Z33" s="53">
        <f t="shared" si="1"/>
        <v>6</v>
      </c>
      <c r="AA33" s="51" t="str">
        <f>IFERROR(Recipes2[[#This Row],[Selected Component]], "")</f>
        <v/>
      </c>
      <c r="AB33" s="51" t="str">
        <f>IFERROR(Recipes2[[#This Row],[Selected Name]], "")</f>
        <v/>
      </c>
      <c r="AC33" s="52" t="str">
        <f>IFERROR(Recipes2[[#This Row],[Selected Quantity]], "")</f>
        <v/>
      </c>
    </row>
    <row r="34" spans="2:29" x14ac:dyDescent="0.25">
      <c r="G34" s="3" t="str">
        <f>IFERROR(INDEX(Items[Name], Items[[#This Row],[Condensed]]), "")</f>
        <v/>
      </c>
      <c r="H34" s="7" t="str">
        <f>IFERROR(INDEX(Items[Producers For Selected Count], Items[[#This Row],[Condensed]]), "")</f>
        <v/>
      </c>
      <c r="I34" s="7" t="str">
        <f>IFERROR(INDEX(Items[Fractional Producers for Selected Count], Items[[#This Row],[Condensed]]), "")</f>
        <v/>
      </c>
      <c r="J34" s="5" t="str">
        <f>IFERROR(INDEX(Items[Base Cycle Time], MATCH(ThingsNeeded[[#This Row],[Component]], Items[Name], 0)), "")</f>
        <v/>
      </c>
      <c r="K34" s="5" t="str">
        <f>IFERROR(ROUND(1 / ThingsNeeded[[#This Row],[Produced Per Second]], 2), "")</f>
        <v/>
      </c>
      <c r="L34" s="5" t="str">
        <f>IFERROR(INDEX(Items[Per Second], MATCH(ThingsNeeded[[#This Row],[Component]], Items[Name], 0)), "")</f>
        <v/>
      </c>
      <c r="M34" s="4" t="str">
        <f>IFERROR(LEFT(INDEX(Items[Producer Type], Items[[#This Row],[Condensed]]), 1), "")</f>
        <v/>
      </c>
      <c r="N34" s="58" t="str">
        <f>IFERROR(CEILING(INDEX(Items[Selected Per Second], Items[[#This Row],[Condensed]]), 0.01), "")</f>
        <v/>
      </c>
      <c r="O34" s="5" t="str">
        <f>IFERROR(ROUND(ThingsNeeded[[#This Row],[Producers]] / ThingsNeeded[[#This Row],[Fractional Producers]] * ThingsNeeded[[#This Row],[Needed Per Second]], 2), "")</f>
        <v/>
      </c>
      <c r="P34" s="19" t="str">
        <f>IFERROR(IF(ThingsNeeded[[#This Row],[Used]], 0, ROUND(ThingsNeeded[[#This Row],[Created Per Second]] / ThingsNeeded[[#This Row],[Needed Per Second]] - 1, 2)), "")</f>
        <v/>
      </c>
      <c r="Q34" s="17">
        <f>COUNTIF(ComponentRecipes2[Component], ThingsNeeded[[#This Row],[Component]])</f>
        <v>294</v>
      </c>
      <c r="R34" s="5" t="str">
        <f>IF(ThingsNeeded[[#This Row],[Component]] = "", "", COUNTIF(Recipes[Name], ThingsNeeded[[#This Row],[Component]]))</f>
        <v/>
      </c>
      <c r="S34" s="16" t="b">
        <v>0</v>
      </c>
      <c r="U34" s="6">
        <f t="shared" si="0"/>
        <v>5</v>
      </c>
      <c r="V34" s="51" t="str">
        <f>IFERROR(Recipes[[#This Row],[Selected Name]], "")</f>
        <v/>
      </c>
      <c r="W34" s="51" t="str">
        <f>IFERROR(Recipes[[#This Row],[Selected Component]], "")</f>
        <v/>
      </c>
      <c r="X34" s="52" t="str">
        <f>IFERROR(Recipes[[#This Row],[Selected Quantity]], "")</f>
        <v/>
      </c>
      <c r="Z34" s="53">
        <f t="shared" si="1"/>
        <v>6</v>
      </c>
      <c r="AA34" s="51" t="str">
        <f>IFERROR(Recipes2[[#This Row],[Selected Component]], "")</f>
        <v/>
      </c>
      <c r="AB34" s="51" t="str">
        <f>IFERROR(Recipes2[[#This Row],[Selected Name]], "")</f>
        <v/>
      </c>
      <c r="AC34" s="52" t="str">
        <f>IFERROR(Recipes2[[#This Row],[Selected Quantity]], "")</f>
        <v/>
      </c>
    </row>
    <row r="35" spans="2:29" x14ac:dyDescent="0.25">
      <c r="G35" s="3" t="str">
        <f>IFERROR(INDEX(Items[Name], Items[[#This Row],[Condensed]]), "")</f>
        <v/>
      </c>
      <c r="H35" s="7" t="str">
        <f>IFERROR(INDEX(Items[Producers For Selected Count], Items[[#This Row],[Condensed]]), "")</f>
        <v/>
      </c>
      <c r="I35" s="7" t="str">
        <f>IFERROR(INDEX(Items[Fractional Producers for Selected Count], Items[[#This Row],[Condensed]]), "")</f>
        <v/>
      </c>
      <c r="J35" s="5" t="str">
        <f>IFERROR(INDEX(Items[Base Cycle Time], MATCH(ThingsNeeded[[#This Row],[Component]], Items[Name], 0)), "")</f>
        <v/>
      </c>
      <c r="K35" s="5" t="str">
        <f>IFERROR(ROUND(1 / ThingsNeeded[[#This Row],[Produced Per Second]], 2), "")</f>
        <v/>
      </c>
      <c r="L35" s="5" t="str">
        <f>IFERROR(INDEX(Items[Per Second], MATCH(ThingsNeeded[[#This Row],[Component]], Items[Name], 0)), "")</f>
        <v/>
      </c>
      <c r="M35" s="4" t="str">
        <f>IFERROR(LEFT(INDEX(Items[Producer Type], Items[[#This Row],[Condensed]]), 1), "")</f>
        <v/>
      </c>
      <c r="N35" s="58" t="str">
        <f>IFERROR(CEILING(INDEX(Items[Selected Per Second], Items[[#This Row],[Condensed]]), 0.01), "")</f>
        <v/>
      </c>
      <c r="O35" s="5" t="str">
        <f>IFERROR(ROUND(ThingsNeeded[[#This Row],[Producers]] / ThingsNeeded[[#This Row],[Fractional Producers]] * ThingsNeeded[[#This Row],[Needed Per Second]], 2), "")</f>
        <v/>
      </c>
      <c r="P35" s="19" t="str">
        <f>IFERROR(IF(ThingsNeeded[[#This Row],[Used]], 0, ROUND(ThingsNeeded[[#This Row],[Created Per Second]] / ThingsNeeded[[#This Row],[Needed Per Second]] - 1, 2)), "")</f>
        <v/>
      </c>
      <c r="Q35" s="17">
        <f>COUNTIF(ComponentRecipes2[Component], ThingsNeeded[[#This Row],[Component]])</f>
        <v>294</v>
      </c>
      <c r="R35" s="5" t="str">
        <f>IF(ThingsNeeded[[#This Row],[Component]] = "", "", COUNTIF(Recipes[Name], ThingsNeeded[[#This Row],[Component]]))</f>
        <v/>
      </c>
      <c r="S35" s="16" t="b">
        <v>0</v>
      </c>
      <c r="U35" s="6">
        <f t="shared" si="0"/>
        <v>5</v>
      </c>
      <c r="V35" s="51" t="str">
        <f>IFERROR(Recipes[[#This Row],[Selected Name]], "")</f>
        <v/>
      </c>
      <c r="W35" s="51" t="str">
        <f>IFERROR(Recipes[[#This Row],[Selected Component]], "")</f>
        <v/>
      </c>
      <c r="X35" s="52" t="str">
        <f>IFERROR(Recipes[[#This Row],[Selected Quantity]], "")</f>
        <v/>
      </c>
      <c r="Z35" s="53">
        <f t="shared" si="1"/>
        <v>6</v>
      </c>
      <c r="AA35" s="51" t="str">
        <f>IFERROR(Recipes2[[#This Row],[Selected Component]], "")</f>
        <v/>
      </c>
      <c r="AB35" s="51" t="str">
        <f>IFERROR(Recipes2[[#This Row],[Selected Name]], "")</f>
        <v/>
      </c>
      <c r="AC35" s="52" t="str">
        <f>IFERROR(Recipes2[[#This Row],[Selected Quantity]], "")</f>
        <v/>
      </c>
    </row>
    <row r="36" spans="2:29" x14ac:dyDescent="0.25">
      <c r="G36" s="3" t="str">
        <f>IFERROR(INDEX(Items[Name], Items[[#This Row],[Condensed]]), "")</f>
        <v/>
      </c>
      <c r="H36" s="7" t="str">
        <f>IFERROR(INDEX(Items[Producers For Selected Count], Items[[#This Row],[Condensed]]), "")</f>
        <v/>
      </c>
      <c r="I36" s="7" t="str">
        <f>IFERROR(INDEX(Items[Fractional Producers for Selected Count], Items[[#This Row],[Condensed]]), "")</f>
        <v/>
      </c>
      <c r="J36" s="5" t="str">
        <f>IFERROR(INDEX(Items[Base Cycle Time], MATCH(ThingsNeeded[[#This Row],[Component]], Items[Name], 0)), "")</f>
        <v/>
      </c>
      <c r="K36" s="5" t="str">
        <f>IFERROR(ROUND(1 / ThingsNeeded[[#This Row],[Produced Per Second]], 2), "")</f>
        <v/>
      </c>
      <c r="L36" s="5" t="str">
        <f>IFERROR(INDEX(Items[Per Second], MATCH(ThingsNeeded[[#This Row],[Component]], Items[Name], 0)), "")</f>
        <v/>
      </c>
      <c r="M36" s="4" t="str">
        <f>IFERROR(LEFT(INDEX(Items[Producer Type], Items[[#This Row],[Condensed]]), 1), "")</f>
        <v/>
      </c>
      <c r="N36" s="58" t="str">
        <f>IFERROR(CEILING(INDEX(Items[Selected Per Second], Items[[#This Row],[Condensed]]), 0.01), "")</f>
        <v/>
      </c>
      <c r="O36" s="5" t="str">
        <f>IFERROR(ROUND(ThingsNeeded[[#This Row],[Producers]] / ThingsNeeded[[#This Row],[Fractional Producers]] * ThingsNeeded[[#This Row],[Needed Per Second]], 2), "")</f>
        <v/>
      </c>
      <c r="P36" s="19" t="str">
        <f>IFERROR(IF(ThingsNeeded[[#This Row],[Used]], 0, ROUND(ThingsNeeded[[#This Row],[Created Per Second]] / ThingsNeeded[[#This Row],[Needed Per Second]] - 1, 2)), "")</f>
        <v/>
      </c>
      <c r="Q36" s="17">
        <f>COUNTIF(ComponentRecipes2[Component], ThingsNeeded[[#This Row],[Component]])</f>
        <v>294</v>
      </c>
      <c r="R36" s="5" t="str">
        <f>IF(ThingsNeeded[[#This Row],[Component]] = "", "", COUNTIF(Recipes[Name], ThingsNeeded[[#This Row],[Component]]))</f>
        <v/>
      </c>
      <c r="S36" s="16" t="b">
        <v>0</v>
      </c>
      <c r="U36" s="6">
        <f t="shared" si="0"/>
        <v>5</v>
      </c>
      <c r="V36" s="51" t="str">
        <f>IFERROR(Recipes[[#This Row],[Selected Name]], "")</f>
        <v/>
      </c>
      <c r="W36" s="51" t="str">
        <f>IFERROR(Recipes[[#This Row],[Selected Component]], "")</f>
        <v/>
      </c>
      <c r="X36" s="52" t="str">
        <f>IFERROR(Recipes[[#This Row],[Selected Quantity]], "")</f>
        <v/>
      </c>
      <c r="Z36" s="53">
        <f t="shared" si="1"/>
        <v>6</v>
      </c>
      <c r="AA36" s="51" t="str">
        <f>IFERROR(Recipes2[[#This Row],[Selected Component]], "")</f>
        <v/>
      </c>
      <c r="AB36" s="51" t="str">
        <f>IFERROR(Recipes2[[#This Row],[Selected Name]], "")</f>
        <v/>
      </c>
      <c r="AC36" s="52" t="str">
        <f>IFERROR(Recipes2[[#This Row],[Selected Quantity]], "")</f>
        <v/>
      </c>
    </row>
    <row r="37" spans="2:29" x14ac:dyDescent="0.25">
      <c r="G37" s="3" t="str">
        <f>IFERROR(INDEX(Items[Name], Items[[#This Row],[Condensed]]), "")</f>
        <v/>
      </c>
      <c r="H37" s="7" t="str">
        <f>IFERROR(INDEX(Items[Producers For Selected Count], Items[[#This Row],[Condensed]]), "")</f>
        <v/>
      </c>
      <c r="I37" s="7" t="str">
        <f>IFERROR(INDEX(Items[Fractional Producers for Selected Count], Items[[#This Row],[Condensed]]), "")</f>
        <v/>
      </c>
      <c r="J37" s="5" t="str">
        <f>IFERROR(INDEX(Items[Base Cycle Time], MATCH(ThingsNeeded[[#This Row],[Component]], Items[Name], 0)), "")</f>
        <v/>
      </c>
      <c r="K37" s="5" t="str">
        <f>IFERROR(ROUND(1 / ThingsNeeded[[#This Row],[Produced Per Second]], 2), "")</f>
        <v/>
      </c>
      <c r="L37" s="5" t="str">
        <f>IFERROR(INDEX(Items[Per Second], MATCH(ThingsNeeded[[#This Row],[Component]], Items[Name], 0)), "")</f>
        <v/>
      </c>
      <c r="M37" s="4" t="str">
        <f>IFERROR(LEFT(INDEX(Items[Producer Type], Items[[#This Row],[Condensed]]), 1), "")</f>
        <v/>
      </c>
      <c r="N37" s="58" t="str">
        <f>IFERROR(CEILING(INDEX(Items[Selected Per Second], Items[[#This Row],[Condensed]]), 0.01), "")</f>
        <v/>
      </c>
      <c r="O37" s="5" t="str">
        <f>IFERROR(ROUND(ThingsNeeded[[#This Row],[Producers]] / ThingsNeeded[[#This Row],[Fractional Producers]] * ThingsNeeded[[#This Row],[Needed Per Second]], 2), "")</f>
        <v/>
      </c>
      <c r="P37" s="19" t="str">
        <f>IFERROR(IF(ThingsNeeded[[#This Row],[Used]], 0, ROUND(ThingsNeeded[[#This Row],[Created Per Second]] / ThingsNeeded[[#This Row],[Needed Per Second]] - 1, 2)), "")</f>
        <v/>
      </c>
      <c r="Q37" s="17">
        <f>COUNTIF(ComponentRecipes2[Component], ThingsNeeded[[#This Row],[Component]])</f>
        <v>294</v>
      </c>
      <c r="R37" s="5" t="str">
        <f>IF(ThingsNeeded[[#This Row],[Component]] = "", "", COUNTIF(Recipes[Name], ThingsNeeded[[#This Row],[Component]]))</f>
        <v/>
      </c>
      <c r="S37" s="16" t="b">
        <v>0</v>
      </c>
      <c r="U37" s="6">
        <f t="shared" si="0"/>
        <v>5</v>
      </c>
      <c r="V37" s="51" t="str">
        <f>IFERROR(Recipes[[#This Row],[Selected Name]], "")</f>
        <v/>
      </c>
      <c r="W37" s="51" t="str">
        <f>IFERROR(Recipes[[#This Row],[Selected Component]], "")</f>
        <v/>
      </c>
      <c r="X37" s="52" t="str">
        <f>IFERROR(Recipes[[#This Row],[Selected Quantity]], "")</f>
        <v/>
      </c>
      <c r="Z37" s="53">
        <f t="shared" si="1"/>
        <v>6</v>
      </c>
      <c r="AA37" s="51" t="str">
        <f>IFERROR(Recipes2[[#This Row],[Selected Component]], "")</f>
        <v/>
      </c>
      <c r="AB37" s="51" t="str">
        <f>IFERROR(Recipes2[[#This Row],[Selected Name]], "")</f>
        <v/>
      </c>
      <c r="AC37" s="52" t="str">
        <f>IFERROR(Recipes2[[#This Row],[Selected Quantity]], "")</f>
        <v/>
      </c>
    </row>
    <row r="38" spans="2:29" x14ac:dyDescent="0.25">
      <c r="G38" s="3" t="str">
        <f>IFERROR(INDEX(Items[Name], Items[[#This Row],[Condensed]]), "")</f>
        <v/>
      </c>
      <c r="H38" s="7" t="str">
        <f>IFERROR(INDEX(Items[Producers For Selected Count], Items[[#This Row],[Condensed]]), "")</f>
        <v/>
      </c>
      <c r="I38" s="7" t="str">
        <f>IFERROR(INDEX(Items[Fractional Producers for Selected Count], Items[[#This Row],[Condensed]]), "")</f>
        <v/>
      </c>
      <c r="J38" s="5" t="str">
        <f>IFERROR(INDEX(Items[Base Cycle Time], MATCH(ThingsNeeded[[#This Row],[Component]], Items[Name], 0)), "")</f>
        <v/>
      </c>
      <c r="K38" s="5" t="str">
        <f>IFERROR(ROUND(1 / ThingsNeeded[[#This Row],[Produced Per Second]], 2), "")</f>
        <v/>
      </c>
      <c r="L38" s="5" t="str">
        <f>IFERROR(INDEX(Items[Per Second], MATCH(ThingsNeeded[[#This Row],[Component]], Items[Name], 0)), "")</f>
        <v/>
      </c>
      <c r="M38" s="4" t="str">
        <f>IFERROR(LEFT(INDEX(Items[Producer Type], Items[[#This Row],[Condensed]]), 1), "")</f>
        <v/>
      </c>
      <c r="N38" s="58" t="str">
        <f>IFERROR(CEILING(INDEX(Items[Selected Per Second], Items[[#This Row],[Condensed]]), 0.01), "")</f>
        <v/>
      </c>
      <c r="O38" s="5" t="str">
        <f>IFERROR(ROUND(ThingsNeeded[[#This Row],[Producers]] / ThingsNeeded[[#This Row],[Fractional Producers]] * ThingsNeeded[[#This Row],[Needed Per Second]], 2), "")</f>
        <v/>
      </c>
      <c r="P38" s="19" t="str">
        <f>IFERROR(IF(ThingsNeeded[[#This Row],[Used]], 0, ROUND(ThingsNeeded[[#This Row],[Created Per Second]] / ThingsNeeded[[#This Row],[Needed Per Second]] - 1, 2)), "")</f>
        <v/>
      </c>
      <c r="Q38" s="17">
        <f>COUNTIF(ComponentRecipes2[Component], ThingsNeeded[[#This Row],[Component]])</f>
        <v>294</v>
      </c>
      <c r="R38" s="5" t="str">
        <f>IF(ThingsNeeded[[#This Row],[Component]] = "", "", COUNTIF(Recipes[Name], ThingsNeeded[[#This Row],[Component]]))</f>
        <v/>
      </c>
      <c r="S38" s="16" t="b">
        <v>0</v>
      </c>
      <c r="U38" s="6">
        <f t="shared" si="0"/>
        <v>5</v>
      </c>
      <c r="V38" s="51" t="str">
        <f>IFERROR(Recipes[[#This Row],[Selected Name]], "")</f>
        <v/>
      </c>
      <c r="W38" s="51" t="str">
        <f>IFERROR(Recipes[[#This Row],[Selected Component]], "")</f>
        <v/>
      </c>
      <c r="X38" s="52" t="str">
        <f>IFERROR(Recipes[[#This Row],[Selected Quantity]], "")</f>
        <v/>
      </c>
      <c r="Z38" s="53">
        <f t="shared" si="1"/>
        <v>6</v>
      </c>
      <c r="AA38" s="51" t="str">
        <f>IFERROR(Recipes2[[#This Row],[Selected Component]], "")</f>
        <v/>
      </c>
      <c r="AB38" s="51" t="str">
        <f>IFERROR(Recipes2[[#This Row],[Selected Name]], "")</f>
        <v/>
      </c>
      <c r="AC38" s="52" t="str">
        <f>IFERROR(Recipes2[[#This Row],[Selected Quantity]], "")</f>
        <v/>
      </c>
    </row>
    <row r="39" spans="2:29" x14ac:dyDescent="0.25">
      <c r="G39" s="3" t="str">
        <f>IFERROR(INDEX(Items[Name], Items[[#This Row],[Condensed]]), "")</f>
        <v/>
      </c>
      <c r="H39" s="7" t="str">
        <f>IFERROR(INDEX(Items[Producers For Selected Count], Items[[#This Row],[Condensed]]), "")</f>
        <v/>
      </c>
      <c r="I39" s="7" t="str">
        <f>IFERROR(INDEX(Items[Fractional Producers for Selected Count], Items[[#This Row],[Condensed]]), "")</f>
        <v/>
      </c>
      <c r="J39" s="5" t="str">
        <f>IFERROR(INDEX(Items[Base Cycle Time], MATCH(ThingsNeeded[[#This Row],[Component]], Items[Name], 0)), "")</f>
        <v/>
      </c>
      <c r="K39" s="5" t="str">
        <f>IFERROR(ROUND(1 / ThingsNeeded[[#This Row],[Produced Per Second]], 2), "")</f>
        <v/>
      </c>
      <c r="L39" s="5" t="str">
        <f>IFERROR(INDEX(Items[Per Second], MATCH(ThingsNeeded[[#This Row],[Component]], Items[Name], 0)), "")</f>
        <v/>
      </c>
      <c r="M39" s="4" t="str">
        <f>IFERROR(LEFT(INDEX(Items[Producer Type], Items[[#This Row],[Condensed]]), 1), "")</f>
        <v/>
      </c>
      <c r="N39" s="58" t="str">
        <f>IFERROR(CEILING(INDEX(Items[Selected Per Second], Items[[#This Row],[Condensed]]), 0.01), "")</f>
        <v/>
      </c>
      <c r="O39" s="5" t="str">
        <f>IFERROR(ROUND(ThingsNeeded[[#This Row],[Producers]] / ThingsNeeded[[#This Row],[Fractional Producers]] * ThingsNeeded[[#This Row],[Needed Per Second]], 2), "")</f>
        <v/>
      </c>
      <c r="P39" s="19" t="str">
        <f>IFERROR(IF(ThingsNeeded[[#This Row],[Used]], 0, ROUND(ThingsNeeded[[#This Row],[Created Per Second]] / ThingsNeeded[[#This Row],[Needed Per Second]] - 1, 2)), "")</f>
        <v/>
      </c>
      <c r="Q39" s="17">
        <f>COUNTIF(ComponentRecipes2[Component], ThingsNeeded[[#This Row],[Component]])</f>
        <v>294</v>
      </c>
      <c r="R39" s="5" t="str">
        <f>IF(ThingsNeeded[[#This Row],[Component]] = "", "", COUNTIF(Recipes[Name], ThingsNeeded[[#This Row],[Component]]))</f>
        <v/>
      </c>
      <c r="S39" s="16" t="b">
        <v>0</v>
      </c>
      <c r="U39" s="6">
        <f t="shared" si="0"/>
        <v>5</v>
      </c>
      <c r="V39" s="51" t="str">
        <f>IFERROR(Recipes[[#This Row],[Selected Name]], "")</f>
        <v/>
      </c>
      <c r="W39" s="51" t="str">
        <f>IFERROR(Recipes[[#This Row],[Selected Component]], "")</f>
        <v/>
      </c>
      <c r="X39" s="52" t="str">
        <f>IFERROR(Recipes[[#This Row],[Selected Quantity]], "")</f>
        <v/>
      </c>
      <c r="Z39" s="53">
        <f t="shared" si="1"/>
        <v>6</v>
      </c>
      <c r="AA39" s="51" t="str">
        <f>IFERROR(Recipes2[[#This Row],[Selected Component]], "")</f>
        <v/>
      </c>
      <c r="AB39" s="51" t="str">
        <f>IFERROR(Recipes2[[#This Row],[Selected Name]], "")</f>
        <v/>
      </c>
      <c r="AC39" s="52" t="str">
        <f>IFERROR(Recipes2[[#This Row],[Selected Quantity]], "")</f>
        <v/>
      </c>
    </row>
    <row r="40" spans="2:29" x14ac:dyDescent="0.25">
      <c r="G40" s="3" t="str">
        <f>IFERROR(INDEX(Items[Name], Items[[#This Row],[Condensed]]), "")</f>
        <v/>
      </c>
      <c r="H40" s="7" t="str">
        <f>IFERROR(INDEX(Items[Producers For Selected Count], Items[[#This Row],[Condensed]]), "")</f>
        <v/>
      </c>
      <c r="I40" s="7" t="str">
        <f>IFERROR(INDEX(Items[Fractional Producers for Selected Count], Items[[#This Row],[Condensed]]), "")</f>
        <v/>
      </c>
      <c r="J40" s="5" t="str">
        <f>IFERROR(INDEX(Items[Base Cycle Time], MATCH(ThingsNeeded[[#This Row],[Component]], Items[Name], 0)), "")</f>
        <v/>
      </c>
      <c r="K40" s="5" t="str">
        <f>IFERROR(ROUND(1 / ThingsNeeded[[#This Row],[Produced Per Second]], 2), "")</f>
        <v/>
      </c>
      <c r="L40" s="5" t="str">
        <f>IFERROR(INDEX(Items[Per Second], MATCH(ThingsNeeded[[#This Row],[Component]], Items[Name], 0)), "")</f>
        <v/>
      </c>
      <c r="M40" s="4" t="str">
        <f>IFERROR(LEFT(INDEX(Items[Producer Type], Items[[#This Row],[Condensed]]), 1), "")</f>
        <v/>
      </c>
      <c r="N40" s="58" t="str">
        <f>IFERROR(CEILING(INDEX(Items[Selected Per Second], Items[[#This Row],[Condensed]]), 0.01), "")</f>
        <v/>
      </c>
      <c r="O40" s="5" t="str">
        <f>IFERROR(ROUND(ThingsNeeded[[#This Row],[Producers]] / ThingsNeeded[[#This Row],[Fractional Producers]] * ThingsNeeded[[#This Row],[Needed Per Second]], 2), "")</f>
        <v/>
      </c>
      <c r="P40" s="19" t="str">
        <f>IFERROR(IF(ThingsNeeded[[#This Row],[Used]], 0, ROUND(ThingsNeeded[[#This Row],[Created Per Second]] / ThingsNeeded[[#This Row],[Needed Per Second]] - 1, 2)), "")</f>
        <v/>
      </c>
      <c r="Q40" s="17">
        <f>COUNTIF(ComponentRecipes2[Component], ThingsNeeded[[#This Row],[Component]])</f>
        <v>294</v>
      </c>
      <c r="R40" s="5" t="str">
        <f>IF(ThingsNeeded[[#This Row],[Component]] = "", "", COUNTIF(Recipes[Name], ThingsNeeded[[#This Row],[Component]]))</f>
        <v/>
      </c>
      <c r="S40" s="16" t="b">
        <v>0</v>
      </c>
      <c r="U40" s="6">
        <f t="shared" si="0"/>
        <v>5</v>
      </c>
      <c r="V40" s="51" t="str">
        <f>IFERROR(Recipes[[#This Row],[Selected Name]], "")</f>
        <v/>
      </c>
      <c r="W40" s="51" t="str">
        <f>IFERROR(Recipes[[#This Row],[Selected Component]], "")</f>
        <v/>
      </c>
      <c r="X40" s="52" t="str">
        <f>IFERROR(Recipes[[#This Row],[Selected Quantity]], "")</f>
        <v/>
      </c>
      <c r="Z40" s="53">
        <f t="shared" si="1"/>
        <v>6</v>
      </c>
      <c r="AA40" s="51" t="str">
        <f>IFERROR(Recipes2[[#This Row],[Selected Component]], "")</f>
        <v/>
      </c>
      <c r="AB40" s="51" t="str">
        <f>IFERROR(Recipes2[[#This Row],[Selected Name]], "")</f>
        <v/>
      </c>
      <c r="AC40" s="52" t="str">
        <f>IFERROR(Recipes2[[#This Row],[Selected Quantity]], "")</f>
        <v/>
      </c>
    </row>
    <row r="41" spans="2:29" x14ac:dyDescent="0.25">
      <c r="G41" s="3" t="str">
        <f>IFERROR(INDEX(Items[Name], Items[[#This Row],[Condensed]]), "")</f>
        <v/>
      </c>
      <c r="H41" s="7" t="str">
        <f>IFERROR(INDEX(Items[Producers For Selected Count], Items[[#This Row],[Condensed]]), "")</f>
        <v/>
      </c>
      <c r="I41" s="7" t="str">
        <f>IFERROR(INDEX(Items[Fractional Producers for Selected Count], Items[[#This Row],[Condensed]]), "")</f>
        <v/>
      </c>
      <c r="J41" s="5" t="str">
        <f>IFERROR(INDEX(Items[Base Cycle Time], MATCH(ThingsNeeded[[#This Row],[Component]], Items[Name], 0)), "")</f>
        <v/>
      </c>
      <c r="K41" s="5" t="str">
        <f>IFERROR(ROUND(1 / ThingsNeeded[[#This Row],[Produced Per Second]], 2), "")</f>
        <v/>
      </c>
      <c r="L41" s="5" t="str">
        <f>IFERROR(INDEX(Items[Per Second], MATCH(ThingsNeeded[[#This Row],[Component]], Items[Name], 0)), "")</f>
        <v/>
      </c>
      <c r="M41" s="4" t="str">
        <f>IFERROR(LEFT(INDEX(Items[Producer Type], Items[[#This Row],[Condensed]]), 1), "")</f>
        <v/>
      </c>
      <c r="N41" s="58" t="str">
        <f>IFERROR(CEILING(INDEX(Items[Selected Per Second], Items[[#This Row],[Condensed]]), 0.01), "")</f>
        <v/>
      </c>
      <c r="O41" s="5" t="str">
        <f>IFERROR(ROUND(ThingsNeeded[[#This Row],[Producers]] / ThingsNeeded[[#This Row],[Fractional Producers]] * ThingsNeeded[[#This Row],[Needed Per Second]], 2), "")</f>
        <v/>
      </c>
      <c r="P41" s="19">
        <f>IFERROR(IF(ThingsNeeded[[#This Row],[Used]], 0, ROUND(ThingsNeeded[[#This Row],[Created Per Second]] / ThingsNeeded[[#This Row],[Needed Per Second]] - 1, 2)), "")</f>
        <v>0</v>
      </c>
      <c r="Q41" s="17">
        <f>COUNTIF(ComponentRecipes2[Component], ThingsNeeded[[#This Row],[Component]])</f>
        <v>294</v>
      </c>
      <c r="R41" s="5" t="str">
        <f>IF(ThingsNeeded[[#This Row],[Component]] = "", "", COUNTIF(Recipes[Name], ThingsNeeded[[#This Row],[Component]]))</f>
        <v/>
      </c>
      <c r="S41" s="16" t="b">
        <v>1</v>
      </c>
      <c r="U41" s="6">
        <f t="shared" si="0"/>
        <v>5</v>
      </c>
      <c r="V41" s="51" t="str">
        <f>IFERROR(Recipes[[#This Row],[Selected Name]], "")</f>
        <v/>
      </c>
      <c r="W41" s="51" t="str">
        <f>IFERROR(Recipes[[#This Row],[Selected Component]], "")</f>
        <v/>
      </c>
      <c r="X41" s="52" t="str">
        <f>IFERROR(Recipes[[#This Row],[Selected Quantity]], "")</f>
        <v/>
      </c>
      <c r="Z41" s="53">
        <f t="shared" si="1"/>
        <v>6</v>
      </c>
      <c r="AA41" s="51" t="str">
        <f>IFERROR(Recipes2[[#This Row],[Selected Component]], "")</f>
        <v/>
      </c>
      <c r="AB41" s="51" t="str">
        <f>IFERROR(Recipes2[[#This Row],[Selected Name]], "")</f>
        <v/>
      </c>
      <c r="AC41" s="52" t="str">
        <f>IFERROR(Recipes2[[#This Row],[Selected Quantity]], "")</f>
        <v/>
      </c>
    </row>
    <row r="42" spans="2:29" x14ac:dyDescent="0.25">
      <c r="G42" s="3" t="str">
        <f>IFERROR(INDEX(Items[Name], Items[[#This Row],[Condensed]]), "")</f>
        <v/>
      </c>
      <c r="H42" s="7" t="str">
        <f>IFERROR(INDEX(Items[Producers For Selected Count], Items[[#This Row],[Condensed]]), "")</f>
        <v/>
      </c>
      <c r="I42" s="7" t="str">
        <f>IFERROR(INDEX(Items[Fractional Producers for Selected Count], Items[[#This Row],[Condensed]]), "")</f>
        <v/>
      </c>
      <c r="J42" s="5" t="str">
        <f>IFERROR(INDEX(Items[Base Cycle Time], MATCH(ThingsNeeded[[#This Row],[Component]], Items[Name], 0)), "")</f>
        <v/>
      </c>
      <c r="K42" s="5" t="str">
        <f>IFERROR(ROUND(1 / ThingsNeeded[[#This Row],[Produced Per Second]], 2), "")</f>
        <v/>
      </c>
      <c r="L42" s="5" t="str">
        <f>IFERROR(INDEX(Items[Per Second], MATCH(ThingsNeeded[[#This Row],[Component]], Items[Name], 0)), "")</f>
        <v/>
      </c>
      <c r="M42" s="4" t="str">
        <f>IFERROR(LEFT(INDEX(Items[Producer Type], Items[[#This Row],[Condensed]]), 1), "")</f>
        <v/>
      </c>
      <c r="N42" s="58" t="str">
        <f>IFERROR(CEILING(INDEX(Items[Selected Per Second], Items[[#This Row],[Condensed]]), 0.01), "")</f>
        <v/>
      </c>
      <c r="O42" s="5" t="str">
        <f>IFERROR(ROUND(ThingsNeeded[[#This Row],[Producers]] / ThingsNeeded[[#This Row],[Fractional Producers]] * ThingsNeeded[[#This Row],[Needed Per Second]], 2), "")</f>
        <v/>
      </c>
      <c r="P42" s="19">
        <f>IFERROR(IF(ThingsNeeded[[#This Row],[Used]], 0, ROUND(ThingsNeeded[[#This Row],[Created Per Second]] / ThingsNeeded[[#This Row],[Needed Per Second]] - 1, 2)), "")</f>
        <v>0</v>
      </c>
      <c r="Q42" s="17">
        <f>COUNTIF(ComponentRecipes2[Component], ThingsNeeded[[#This Row],[Component]])</f>
        <v>294</v>
      </c>
      <c r="R42" s="5" t="str">
        <f>IF(ThingsNeeded[[#This Row],[Component]] = "", "", COUNTIF(Recipes[Name], ThingsNeeded[[#This Row],[Component]]))</f>
        <v/>
      </c>
      <c r="S42" s="16" t="b">
        <v>1</v>
      </c>
      <c r="U42" s="6">
        <f t="shared" si="0"/>
        <v>5</v>
      </c>
      <c r="V42" s="51" t="str">
        <f>IFERROR(Recipes[[#This Row],[Selected Name]], "")</f>
        <v/>
      </c>
      <c r="W42" s="51" t="str">
        <f>IFERROR(Recipes[[#This Row],[Selected Component]], "")</f>
        <v/>
      </c>
      <c r="X42" s="52" t="str">
        <f>IFERROR(Recipes[[#This Row],[Selected Quantity]], "")</f>
        <v/>
      </c>
      <c r="Z42" s="53">
        <f t="shared" si="1"/>
        <v>6</v>
      </c>
      <c r="AA42" s="51" t="str">
        <f>IFERROR(Recipes2[[#This Row],[Selected Component]], "")</f>
        <v/>
      </c>
      <c r="AB42" s="51" t="str">
        <f>IFERROR(Recipes2[[#This Row],[Selected Name]], "")</f>
        <v/>
      </c>
      <c r="AC42" s="52" t="str">
        <f>IFERROR(Recipes2[[#This Row],[Selected Quantity]], "")</f>
        <v/>
      </c>
    </row>
    <row r="43" spans="2:29" x14ac:dyDescent="0.25">
      <c r="G43" s="3" t="str">
        <f>IFERROR(INDEX(Items[Name], Items[[#This Row],[Condensed]]), "")</f>
        <v/>
      </c>
      <c r="H43" s="7" t="str">
        <f>IFERROR(INDEX(Items[Producers For Selected Count], Items[[#This Row],[Condensed]]), "")</f>
        <v/>
      </c>
      <c r="I43" s="7" t="str">
        <f>IFERROR(INDEX(Items[Fractional Producers for Selected Count], Items[[#This Row],[Condensed]]), "")</f>
        <v/>
      </c>
      <c r="J43" s="5" t="str">
        <f>IFERROR(INDEX(Items[Base Cycle Time], MATCH(ThingsNeeded[[#This Row],[Component]], Items[Name], 0)), "")</f>
        <v/>
      </c>
      <c r="K43" s="5" t="str">
        <f>IFERROR(ROUND(1 / ThingsNeeded[[#This Row],[Produced Per Second]], 2), "")</f>
        <v/>
      </c>
      <c r="L43" s="5" t="str">
        <f>IFERROR(INDEX(Items[Per Second], MATCH(ThingsNeeded[[#This Row],[Component]], Items[Name], 0)), "")</f>
        <v/>
      </c>
      <c r="M43" s="4" t="str">
        <f>IFERROR(LEFT(INDEX(Items[Producer Type], Items[[#This Row],[Condensed]]), 1), "")</f>
        <v/>
      </c>
      <c r="N43" s="58" t="str">
        <f>IFERROR(CEILING(INDEX(Items[Selected Per Second], Items[[#This Row],[Condensed]]), 0.01), "")</f>
        <v/>
      </c>
      <c r="O43" s="5" t="str">
        <f>IFERROR(ROUND(ThingsNeeded[[#This Row],[Producers]] / ThingsNeeded[[#This Row],[Fractional Producers]] * ThingsNeeded[[#This Row],[Needed Per Second]], 2), "")</f>
        <v/>
      </c>
      <c r="P43" s="19">
        <f>IFERROR(IF(ThingsNeeded[[#This Row],[Used]], 0, ROUND(ThingsNeeded[[#This Row],[Created Per Second]] / ThingsNeeded[[#This Row],[Needed Per Second]] - 1, 2)), "")</f>
        <v>0</v>
      </c>
      <c r="Q43" s="17">
        <f>COUNTIF(ComponentRecipes2[Component], ThingsNeeded[[#This Row],[Component]])</f>
        <v>294</v>
      </c>
      <c r="R43" s="5" t="str">
        <f>IF(ThingsNeeded[[#This Row],[Component]] = "", "", COUNTIF(Recipes[Name], ThingsNeeded[[#This Row],[Component]]))</f>
        <v/>
      </c>
      <c r="S43" s="16" t="b">
        <v>1</v>
      </c>
      <c r="U43" s="6">
        <f t="shared" si="0"/>
        <v>5</v>
      </c>
      <c r="V43" s="51" t="str">
        <f>IFERROR(Recipes[[#This Row],[Selected Name]], "")</f>
        <v/>
      </c>
      <c r="W43" s="51" t="str">
        <f>IFERROR(Recipes[[#This Row],[Selected Component]], "")</f>
        <v/>
      </c>
      <c r="X43" s="52" t="str">
        <f>IFERROR(Recipes[[#This Row],[Selected Quantity]], "")</f>
        <v/>
      </c>
      <c r="Z43" s="53">
        <f t="shared" si="1"/>
        <v>6</v>
      </c>
      <c r="AA43" s="51" t="str">
        <f>IFERROR(Recipes2[[#This Row],[Selected Component]], "")</f>
        <v/>
      </c>
      <c r="AB43" s="51" t="str">
        <f>IFERROR(Recipes2[[#This Row],[Selected Name]], "")</f>
        <v/>
      </c>
      <c r="AC43" s="52" t="str">
        <f>IFERROR(Recipes2[[#This Row],[Selected Quantity]], "")</f>
        <v/>
      </c>
    </row>
    <row r="44" spans="2:29" x14ac:dyDescent="0.25">
      <c r="G44" s="3" t="str">
        <f>IFERROR(INDEX(Items[Name], Items[[#This Row],[Condensed]]), "")</f>
        <v/>
      </c>
      <c r="H44" s="7" t="str">
        <f>IFERROR(INDEX(Items[Producers For Selected Count], Items[[#This Row],[Condensed]]), "")</f>
        <v/>
      </c>
      <c r="I44" s="7" t="str">
        <f>IFERROR(INDEX(Items[Fractional Producers for Selected Count], Items[[#This Row],[Condensed]]), "")</f>
        <v/>
      </c>
      <c r="J44" s="5" t="str">
        <f>IFERROR(INDEX(Items[Base Cycle Time], MATCH(ThingsNeeded[[#This Row],[Component]], Items[Name], 0)), "")</f>
        <v/>
      </c>
      <c r="K44" s="5" t="str">
        <f>IFERROR(ROUND(1 / ThingsNeeded[[#This Row],[Produced Per Second]], 2), "")</f>
        <v/>
      </c>
      <c r="L44" s="5" t="str">
        <f>IFERROR(INDEX(Items[Per Second], MATCH(ThingsNeeded[[#This Row],[Component]], Items[Name], 0)), "")</f>
        <v/>
      </c>
      <c r="M44" s="4" t="str">
        <f>IFERROR(LEFT(INDEX(Items[Producer Type], Items[[#This Row],[Condensed]]), 1), "")</f>
        <v/>
      </c>
      <c r="N44" s="58" t="str">
        <f>IFERROR(CEILING(INDEX(Items[Selected Per Second], Items[[#This Row],[Condensed]]), 0.01), "")</f>
        <v/>
      </c>
      <c r="O44" s="5" t="str">
        <f>IFERROR(ROUND(ThingsNeeded[[#This Row],[Producers]] / ThingsNeeded[[#This Row],[Fractional Producers]] * ThingsNeeded[[#This Row],[Needed Per Second]], 2), "")</f>
        <v/>
      </c>
      <c r="P44" s="19">
        <f>IFERROR(IF(ThingsNeeded[[#This Row],[Used]], 0, ROUND(ThingsNeeded[[#This Row],[Created Per Second]] / ThingsNeeded[[#This Row],[Needed Per Second]] - 1, 2)), "")</f>
        <v>0</v>
      </c>
      <c r="Q44" s="17">
        <f>COUNTIF(ComponentRecipes2[Component], ThingsNeeded[[#This Row],[Component]])</f>
        <v>294</v>
      </c>
      <c r="R44" s="5" t="str">
        <f>IF(ThingsNeeded[[#This Row],[Component]] = "", "", COUNTIF(Recipes[Name], ThingsNeeded[[#This Row],[Component]]))</f>
        <v/>
      </c>
      <c r="S44" s="16" t="b">
        <v>1</v>
      </c>
      <c r="U44" s="6">
        <f t="shared" si="0"/>
        <v>5</v>
      </c>
      <c r="V44" s="51" t="str">
        <f>IFERROR(Recipes[[#This Row],[Selected Name]], "")</f>
        <v/>
      </c>
      <c r="W44" s="51" t="str">
        <f>IFERROR(Recipes[[#This Row],[Selected Component]], "")</f>
        <v/>
      </c>
      <c r="X44" s="52" t="str">
        <f>IFERROR(Recipes[[#This Row],[Selected Quantity]], "")</f>
        <v/>
      </c>
      <c r="Z44" s="53">
        <f t="shared" si="1"/>
        <v>6</v>
      </c>
      <c r="AA44" s="51" t="str">
        <f>IFERROR(Recipes2[[#This Row],[Selected Component]], "")</f>
        <v/>
      </c>
      <c r="AB44" s="51" t="str">
        <f>IFERROR(Recipes2[[#This Row],[Selected Name]], "")</f>
        <v/>
      </c>
      <c r="AC44" s="52" t="str">
        <f>IFERROR(Recipes2[[#This Row],[Selected Quantity]], "")</f>
        <v/>
      </c>
    </row>
    <row r="45" spans="2:29" x14ac:dyDescent="0.25">
      <c r="G45" s="3" t="str">
        <f>IFERROR(INDEX(Items[Name], Items[[#This Row],[Condensed]]), "")</f>
        <v/>
      </c>
      <c r="H45" s="7" t="str">
        <f>IFERROR(INDEX(Items[Producers For Selected Count], Items[[#This Row],[Condensed]]), "")</f>
        <v/>
      </c>
      <c r="I45" s="7" t="str">
        <f>IFERROR(INDEX(Items[Fractional Producers for Selected Count], Items[[#This Row],[Condensed]]), "")</f>
        <v/>
      </c>
      <c r="J45" s="5" t="str">
        <f>IFERROR(INDEX(Items[Base Cycle Time], MATCH(ThingsNeeded[[#This Row],[Component]], Items[Name], 0)), "")</f>
        <v/>
      </c>
      <c r="K45" s="5" t="str">
        <f>IFERROR(ROUND(1 / ThingsNeeded[[#This Row],[Produced Per Second]], 2), "")</f>
        <v/>
      </c>
      <c r="L45" s="5" t="str">
        <f>IFERROR(INDEX(Items[Per Second], MATCH(ThingsNeeded[[#This Row],[Component]], Items[Name], 0)), "")</f>
        <v/>
      </c>
      <c r="M45" s="4" t="str">
        <f>IFERROR(LEFT(INDEX(Items[Producer Type], Items[[#This Row],[Condensed]]), 1), "")</f>
        <v/>
      </c>
      <c r="N45" s="58" t="str">
        <f>IFERROR(CEILING(INDEX(Items[Selected Per Second], Items[[#This Row],[Condensed]]), 0.01), "")</f>
        <v/>
      </c>
      <c r="O45" s="5" t="str">
        <f>IFERROR(ROUND(ThingsNeeded[[#This Row],[Producers]] / ThingsNeeded[[#This Row],[Fractional Producers]] * ThingsNeeded[[#This Row],[Needed Per Second]], 2), "")</f>
        <v/>
      </c>
      <c r="P45" s="19">
        <f>IFERROR(IF(ThingsNeeded[[#This Row],[Used]], 0, ROUND(ThingsNeeded[[#This Row],[Created Per Second]] / ThingsNeeded[[#This Row],[Needed Per Second]] - 1, 2)), "")</f>
        <v>0</v>
      </c>
      <c r="Q45" s="17">
        <f>COUNTIF(ComponentRecipes2[Component], ThingsNeeded[[#This Row],[Component]])</f>
        <v>294</v>
      </c>
      <c r="R45" s="5" t="str">
        <f>IF(ThingsNeeded[[#This Row],[Component]] = "", "", COUNTIF(Recipes[Name], ThingsNeeded[[#This Row],[Component]]))</f>
        <v/>
      </c>
      <c r="S45" s="16" t="b">
        <v>1</v>
      </c>
      <c r="U45" s="6">
        <f t="shared" si="0"/>
        <v>5</v>
      </c>
      <c r="V45" s="51" t="str">
        <f>IFERROR(Recipes[[#This Row],[Selected Name]], "")</f>
        <v/>
      </c>
      <c r="W45" s="51" t="str">
        <f>IFERROR(Recipes[[#This Row],[Selected Component]], "")</f>
        <v/>
      </c>
      <c r="X45" s="52" t="str">
        <f>IFERROR(Recipes[[#This Row],[Selected Quantity]], "")</f>
        <v/>
      </c>
      <c r="Z45" s="53">
        <f t="shared" si="1"/>
        <v>6</v>
      </c>
      <c r="AA45" s="51" t="str">
        <f>IFERROR(Recipes2[[#This Row],[Selected Component]], "")</f>
        <v/>
      </c>
      <c r="AB45" s="51" t="str">
        <f>IFERROR(Recipes2[[#This Row],[Selected Name]], "")</f>
        <v/>
      </c>
      <c r="AC45" s="52" t="str">
        <f>IFERROR(Recipes2[[#This Row],[Selected Quantity]], "")</f>
        <v/>
      </c>
    </row>
    <row r="46" spans="2:29" x14ac:dyDescent="0.25">
      <c r="G46" s="3" t="str">
        <f>IFERROR(INDEX(Items[Name], Items[[#This Row],[Condensed]]), "")</f>
        <v/>
      </c>
      <c r="H46" s="7" t="str">
        <f>IFERROR(INDEX(Items[Producers For Selected Count], Items[[#This Row],[Condensed]]), "")</f>
        <v/>
      </c>
      <c r="I46" s="7" t="str">
        <f>IFERROR(INDEX(Items[Fractional Producers for Selected Count], Items[[#This Row],[Condensed]]), "")</f>
        <v/>
      </c>
      <c r="J46" s="5" t="str">
        <f>IFERROR(INDEX(Items[Base Cycle Time], MATCH(ThingsNeeded[[#This Row],[Component]], Items[Name], 0)), "")</f>
        <v/>
      </c>
      <c r="K46" s="5" t="str">
        <f>IFERROR(ROUND(1 / ThingsNeeded[[#This Row],[Produced Per Second]], 2), "")</f>
        <v/>
      </c>
      <c r="L46" s="5" t="str">
        <f>IFERROR(INDEX(Items[Per Second], MATCH(ThingsNeeded[[#This Row],[Component]], Items[Name], 0)), "")</f>
        <v/>
      </c>
      <c r="M46" s="4" t="str">
        <f>IFERROR(LEFT(INDEX(Items[Producer Type], Items[[#This Row],[Condensed]]), 1), "")</f>
        <v/>
      </c>
      <c r="N46" s="58" t="str">
        <f>IFERROR(CEILING(INDEX(Items[Selected Per Second], Items[[#This Row],[Condensed]]), 0.01), "")</f>
        <v/>
      </c>
      <c r="O46" s="5" t="str">
        <f>IFERROR(ROUND(ThingsNeeded[[#This Row],[Producers]] / ThingsNeeded[[#This Row],[Fractional Producers]] * ThingsNeeded[[#This Row],[Needed Per Second]], 2), "")</f>
        <v/>
      </c>
      <c r="P46" s="19">
        <f>IFERROR(IF(ThingsNeeded[[#This Row],[Used]], 0, ROUND(ThingsNeeded[[#This Row],[Created Per Second]] / ThingsNeeded[[#This Row],[Needed Per Second]] - 1, 2)), "")</f>
        <v>0</v>
      </c>
      <c r="Q46" s="17">
        <f>COUNTIF(ComponentRecipes2[Component], ThingsNeeded[[#This Row],[Component]])</f>
        <v>294</v>
      </c>
      <c r="R46" s="5" t="str">
        <f>IF(ThingsNeeded[[#This Row],[Component]] = "", "", COUNTIF(Recipes[Name], ThingsNeeded[[#This Row],[Component]]))</f>
        <v/>
      </c>
      <c r="S46" s="16" t="b">
        <v>1</v>
      </c>
      <c r="U46" s="6">
        <f t="shared" si="0"/>
        <v>5</v>
      </c>
      <c r="V46" s="51" t="str">
        <f>IFERROR(Recipes[[#This Row],[Selected Name]], "")</f>
        <v/>
      </c>
      <c r="W46" s="51" t="str">
        <f>IFERROR(Recipes[[#This Row],[Selected Component]], "")</f>
        <v/>
      </c>
      <c r="X46" s="52" t="str">
        <f>IFERROR(Recipes[[#This Row],[Selected Quantity]], "")</f>
        <v/>
      </c>
      <c r="Z46" s="53">
        <f t="shared" si="1"/>
        <v>6</v>
      </c>
      <c r="AA46" s="51" t="str">
        <f>IFERROR(Recipes2[[#This Row],[Selected Component]], "")</f>
        <v/>
      </c>
      <c r="AB46" s="51" t="str">
        <f>IFERROR(Recipes2[[#This Row],[Selected Name]], "")</f>
        <v/>
      </c>
      <c r="AC46" s="52" t="str">
        <f>IFERROR(Recipes2[[#This Row],[Selected Quantity]], "")</f>
        <v/>
      </c>
    </row>
    <row r="47" spans="2:29" x14ac:dyDescent="0.25">
      <c r="G47" s="3" t="str">
        <f>IFERROR(INDEX(Items[Name], Items[[#This Row],[Condensed]]), "")</f>
        <v/>
      </c>
      <c r="H47" s="7" t="str">
        <f>IFERROR(INDEX(Items[Producers For Selected Count], Items[[#This Row],[Condensed]]), "")</f>
        <v/>
      </c>
      <c r="I47" s="7" t="str">
        <f>IFERROR(INDEX(Items[Fractional Producers for Selected Count], Items[[#This Row],[Condensed]]), "")</f>
        <v/>
      </c>
      <c r="J47" s="5" t="str">
        <f>IFERROR(INDEX(Items[Base Cycle Time], MATCH(ThingsNeeded[[#This Row],[Component]], Items[Name], 0)), "")</f>
        <v/>
      </c>
      <c r="K47" s="5" t="str">
        <f>IFERROR(ROUND(1 / ThingsNeeded[[#This Row],[Produced Per Second]], 2), "")</f>
        <v/>
      </c>
      <c r="L47" s="5" t="str">
        <f>IFERROR(INDEX(Items[Per Second], MATCH(ThingsNeeded[[#This Row],[Component]], Items[Name], 0)), "")</f>
        <v/>
      </c>
      <c r="M47" s="4" t="str">
        <f>IFERROR(LEFT(INDEX(Items[Producer Type], Items[[#This Row],[Condensed]]), 1), "")</f>
        <v/>
      </c>
      <c r="N47" s="58" t="str">
        <f>IFERROR(CEILING(INDEX(Items[Selected Per Second], Items[[#This Row],[Condensed]]), 0.01), "")</f>
        <v/>
      </c>
      <c r="O47" s="5" t="str">
        <f>IFERROR(ROUND(ThingsNeeded[[#This Row],[Producers]] / ThingsNeeded[[#This Row],[Fractional Producers]] * ThingsNeeded[[#This Row],[Needed Per Second]], 2), "")</f>
        <v/>
      </c>
      <c r="P47" s="19">
        <f>IFERROR(IF(ThingsNeeded[[#This Row],[Used]], 0, ROUND(ThingsNeeded[[#This Row],[Created Per Second]] / ThingsNeeded[[#This Row],[Needed Per Second]] - 1, 2)), "")</f>
        <v>0</v>
      </c>
      <c r="Q47" s="17">
        <f>COUNTIF(ComponentRecipes2[Component], ThingsNeeded[[#This Row],[Component]])</f>
        <v>294</v>
      </c>
      <c r="R47" s="5" t="str">
        <f>IF(ThingsNeeded[[#This Row],[Component]] = "", "", COUNTIF(Recipes[Name], ThingsNeeded[[#This Row],[Component]]))</f>
        <v/>
      </c>
      <c r="S47" s="16" t="b">
        <v>1</v>
      </c>
      <c r="U47" s="6">
        <f t="shared" si="0"/>
        <v>5</v>
      </c>
      <c r="V47" s="51" t="str">
        <f>IFERROR(Recipes[[#This Row],[Selected Name]], "")</f>
        <v/>
      </c>
      <c r="W47" s="51" t="str">
        <f>IFERROR(Recipes[[#This Row],[Selected Component]], "")</f>
        <v/>
      </c>
      <c r="X47" s="52" t="str">
        <f>IFERROR(Recipes[[#This Row],[Selected Quantity]], "")</f>
        <v/>
      </c>
      <c r="Z47" s="53">
        <f t="shared" si="1"/>
        <v>6</v>
      </c>
      <c r="AA47" s="51" t="str">
        <f>IFERROR(Recipes2[[#This Row],[Selected Component]], "")</f>
        <v/>
      </c>
      <c r="AB47" s="51" t="str">
        <f>IFERROR(Recipes2[[#This Row],[Selected Name]], "")</f>
        <v/>
      </c>
      <c r="AC47" s="52" t="str">
        <f>IFERROR(Recipes2[[#This Row],[Selected Quantity]], "")</f>
        <v/>
      </c>
    </row>
    <row r="48" spans="2:29" x14ac:dyDescent="0.25">
      <c r="G48" s="3" t="str">
        <f>IFERROR(INDEX(Items[Name], Items[[#This Row],[Condensed]]), "")</f>
        <v/>
      </c>
      <c r="H48" s="7" t="str">
        <f>IFERROR(INDEX(Items[Producers For Selected Count], Items[[#This Row],[Condensed]]), "")</f>
        <v/>
      </c>
      <c r="I48" s="7" t="str">
        <f>IFERROR(INDEX(Items[Fractional Producers for Selected Count], Items[[#This Row],[Condensed]]), "")</f>
        <v/>
      </c>
      <c r="J48" s="5" t="str">
        <f>IFERROR(INDEX(Items[Base Cycle Time], MATCH(ThingsNeeded[[#This Row],[Component]], Items[Name], 0)), "")</f>
        <v/>
      </c>
      <c r="K48" s="5" t="str">
        <f>IFERROR(ROUND(1 / ThingsNeeded[[#This Row],[Produced Per Second]], 2), "")</f>
        <v/>
      </c>
      <c r="L48" s="5" t="str">
        <f>IFERROR(INDEX(Items[Per Second], MATCH(ThingsNeeded[[#This Row],[Component]], Items[Name], 0)), "")</f>
        <v/>
      </c>
      <c r="M48" s="4" t="str">
        <f>IFERROR(LEFT(INDEX(Items[Producer Type], Items[[#This Row],[Condensed]]), 1), "")</f>
        <v/>
      </c>
      <c r="N48" s="58" t="str">
        <f>IFERROR(CEILING(INDEX(Items[Selected Per Second], Items[[#This Row],[Condensed]]), 0.01), "")</f>
        <v/>
      </c>
      <c r="O48" s="5" t="str">
        <f>IFERROR(ROUND(ThingsNeeded[[#This Row],[Producers]] / ThingsNeeded[[#This Row],[Fractional Producers]] * ThingsNeeded[[#This Row],[Needed Per Second]], 2), "")</f>
        <v/>
      </c>
      <c r="P48" s="19">
        <f>IFERROR(IF(ThingsNeeded[[#This Row],[Used]], 0, ROUND(ThingsNeeded[[#This Row],[Created Per Second]] / ThingsNeeded[[#This Row],[Needed Per Second]] - 1, 2)), "")</f>
        <v>0</v>
      </c>
      <c r="Q48" s="17">
        <f>COUNTIF(ComponentRecipes2[Component], ThingsNeeded[[#This Row],[Component]])</f>
        <v>294</v>
      </c>
      <c r="R48" s="5" t="str">
        <f>IF(ThingsNeeded[[#This Row],[Component]] = "", "", COUNTIF(Recipes[Name], ThingsNeeded[[#This Row],[Component]]))</f>
        <v/>
      </c>
      <c r="S48" s="16" t="b">
        <v>1</v>
      </c>
      <c r="U48" s="6">
        <f t="shared" si="0"/>
        <v>5</v>
      </c>
      <c r="V48" s="51" t="str">
        <f>IFERROR(Recipes[[#This Row],[Selected Name]], "")</f>
        <v/>
      </c>
      <c r="W48" s="51" t="str">
        <f>IFERROR(Recipes[[#This Row],[Selected Component]], "")</f>
        <v/>
      </c>
      <c r="X48" s="52" t="str">
        <f>IFERROR(Recipes[[#This Row],[Selected Quantity]], "")</f>
        <v/>
      </c>
      <c r="Z48" s="53">
        <f t="shared" si="1"/>
        <v>6</v>
      </c>
      <c r="AA48" s="51" t="str">
        <f>IFERROR(Recipes2[[#This Row],[Selected Component]], "")</f>
        <v/>
      </c>
      <c r="AB48" s="51" t="str">
        <f>IFERROR(Recipes2[[#This Row],[Selected Name]], "")</f>
        <v/>
      </c>
      <c r="AC48" s="52" t="str">
        <f>IFERROR(Recipes2[[#This Row],[Selected Quantity]], "")</f>
        <v/>
      </c>
    </row>
    <row r="49" spans="7:29" x14ac:dyDescent="0.25">
      <c r="G49" s="3" t="str">
        <f>IFERROR(INDEX(Items[Name], Items[[#This Row],[Condensed]]), "")</f>
        <v/>
      </c>
      <c r="H49" s="7" t="str">
        <f>IFERROR(INDEX(Items[Producers For Selected Count], Items[[#This Row],[Condensed]]), "")</f>
        <v/>
      </c>
      <c r="I49" s="7" t="str">
        <f>IFERROR(INDEX(Items[Fractional Producers for Selected Count], Items[[#This Row],[Condensed]]), "")</f>
        <v/>
      </c>
      <c r="J49" s="5" t="str">
        <f>IFERROR(INDEX(Items[Base Cycle Time], MATCH(ThingsNeeded[[#This Row],[Component]], Items[Name], 0)), "")</f>
        <v/>
      </c>
      <c r="K49" s="5" t="str">
        <f>IFERROR(ROUND(1 / ThingsNeeded[[#This Row],[Produced Per Second]], 2), "")</f>
        <v/>
      </c>
      <c r="L49" s="5" t="str">
        <f>IFERROR(INDEX(Items[Per Second], MATCH(ThingsNeeded[[#This Row],[Component]], Items[Name], 0)), "")</f>
        <v/>
      </c>
      <c r="M49" s="4" t="str">
        <f>IFERROR(LEFT(INDEX(Items[Producer Type], Items[[#This Row],[Condensed]]), 1), "")</f>
        <v/>
      </c>
      <c r="N49" s="58" t="str">
        <f>IFERROR(CEILING(INDEX(Items[Selected Per Second], Items[[#This Row],[Condensed]]), 0.01), "")</f>
        <v/>
      </c>
      <c r="O49" s="5" t="str">
        <f>IFERROR(ROUND(ThingsNeeded[[#This Row],[Producers]] / ThingsNeeded[[#This Row],[Fractional Producers]] * ThingsNeeded[[#This Row],[Needed Per Second]], 2), "")</f>
        <v/>
      </c>
      <c r="P49" s="19">
        <f>IFERROR(IF(ThingsNeeded[[#This Row],[Used]], 0, ROUND(ThingsNeeded[[#This Row],[Created Per Second]] / ThingsNeeded[[#This Row],[Needed Per Second]] - 1, 2)), "")</f>
        <v>0</v>
      </c>
      <c r="Q49" s="17">
        <f>COUNTIF(ComponentRecipes2[Component], ThingsNeeded[[#This Row],[Component]])</f>
        <v>294</v>
      </c>
      <c r="R49" s="5" t="str">
        <f>IF(ThingsNeeded[[#This Row],[Component]] = "", "", COUNTIF(Recipes[Name], ThingsNeeded[[#This Row],[Component]]))</f>
        <v/>
      </c>
      <c r="S49" s="16" t="b">
        <v>1</v>
      </c>
      <c r="U49" s="6">
        <f t="shared" si="0"/>
        <v>5</v>
      </c>
      <c r="V49" s="51" t="str">
        <f>IFERROR(Recipes[[#This Row],[Selected Name]], "")</f>
        <v/>
      </c>
      <c r="W49" s="51" t="str">
        <f>IFERROR(Recipes[[#This Row],[Selected Component]], "")</f>
        <v/>
      </c>
      <c r="X49" s="52" t="str">
        <f>IFERROR(Recipes[[#This Row],[Selected Quantity]], "")</f>
        <v/>
      </c>
      <c r="Z49" s="53">
        <f t="shared" si="1"/>
        <v>6</v>
      </c>
      <c r="AA49" s="51" t="str">
        <f>IFERROR(Recipes2[[#This Row],[Selected Component]], "")</f>
        <v/>
      </c>
      <c r="AB49" s="51" t="str">
        <f>IFERROR(Recipes2[[#This Row],[Selected Name]], "")</f>
        <v/>
      </c>
      <c r="AC49" s="52" t="str">
        <f>IFERROR(Recipes2[[#This Row],[Selected Quantity]], "")</f>
        <v/>
      </c>
    </row>
    <row r="50" spans="7:29" x14ac:dyDescent="0.25">
      <c r="G50" s="3" t="str">
        <f>IFERROR(INDEX(Items[Name], Items[[#This Row],[Condensed]]), "")</f>
        <v/>
      </c>
      <c r="H50" s="7" t="str">
        <f>IFERROR(INDEX(Items[Producers For Selected Count], Items[[#This Row],[Condensed]]), "")</f>
        <v/>
      </c>
      <c r="I50" s="7" t="str">
        <f>IFERROR(INDEX(Items[Fractional Producers for Selected Count], Items[[#This Row],[Condensed]]), "")</f>
        <v/>
      </c>
      <c r="J50" s="5" t="str">
        <f>IFERROR(INDEX(Items[Base Cycle Time], MATCH(ThingsNeeded[[#This Row],[Component]], Items[Name], 0)), "")</f>
        <v/>
      </c>
      <c r="K50" s="5" t="str">
        <f>IFERROR(ROUND(1 / ThingsNeeded[[#This Row],[Produced Per Second]], 2), "")</f>
        <v/>
      </c>
      <c r="L50" s="5" t="str">
        <f>IFERROR(INDEX(Items[Per Second], MATCH(ThingsNeeded[[#This Row],[Component]], Items[Name], 0)), "")</f>
        <v/>
      </c>
      <c r="M50" s="4" t="str">
        <f>IFERROR(LEFT(INDEX(Items[Producer Type], Items[[#This Row],[Condensed]]), 1), "")</f>
        <v/>
      </c>
      <c r="N50" s="58" t="str">
        <f>IFERROR(CEILING(INDEX(Items[Selected Per Second], Items[[#This Row],[Condensed]]), 0.01), "")</f>
        <v/>
      </c>
      <c r="O50" s="5" t="str">
        <f>IFERROR(ROUND(ThingsNeeded[[#This Row],[Producers]] / ThingsNeeded[[#This Row],[Fractional Producers]] * ThingsNeeded[[#This Row],[Needed Per Second]], 2), "")</f>
        <v/>
      </c>
      <c r="P50" s="19">
        <f>IFERROR(IF(ThingsNeeded[[#This Row],[Used]], 0, ROUND(ThingsNeeded[[#This Row],[Created Per Second]] / ThingsNeeded[[#This Row],[Needed Per Second]] - 1, 2)), "")</f>
        <v>0</v>
      </c>
      <c r="Q50" s="17">
        <f>COUNTIF(ComponentRecipes2[Component], ThingsNeeded[[#This Row],[Component]])</f>
        <v>294</v>
      </c>
      <c r="R50" s="5" t="str">
        <f>IF(ThingsNeeded[[#This Row],[Component]] = "", "", COUNTIF(Recipes[Name], ThingsNeeded[[#This Row],[Component]]))</f>
        <v/>
      </c>
      <c r="S50" s="16" t="b">
        <v>1</v>
      </c>
      <c r="U50" s="6">
        <f t="shared" si="0"/>
        <v>5</v>
      </c>
      <c r="V50" s="51" t="str">
        <f>IFERROR(Recipes[[#This Row],[Selected Name]], "")</f>
        <v/>
      </c>
      <c r="W50" s="51" t="str">
        <f>IFERROR(Recipes[[#This Row],[Selected Component]], "")</f>
        <v/>
      </c>
      <c r="X50" s="52" t="str">
        <f>IFERROR(Recipes[[#This Row],[Selected Quantity]], "")</f>
        <v/>
      </c>
      <c r="Z50" s="53">
        <f t="shared" si="1"/>
        <v>6</v>
      </c>
      <c r="AA50" s="51" t="str">
        <f>IFERROR(Recipes2[[#This Row],[Selected Component]], "")</f>
        <v/>
      </c>
      <c r="AB50" s="51" t="str">
        <f>IFERROR(Recipes2[[#This Row],[Selected Name]], "")</f>
        <v/>
      </c>
      <c r="AC50" s="52" t="str">
        <f>IFERROR(Recipes2[[#This Row],[Selected Quantity]], "")</f>
        <v/>
      </c>
    </row>
    <row r="51" spans="7:29" x14ac:dyDescent="0.25">
      <c r="G51" s="3" t="str">
        <f>IFERROR(INDEX(Items[Name], Items[[#This Row],[Condensed]]), "")</f>
        <v/>
      </c>
      <c r="H51" s="7" t="str">
        <f>IFERROR(INDEX(Items[Producers For Selected Count], Items[[#This Row],[Condensed]]), "")</f>
        <v/>
      </c>
      <c r="I51" s="7" t="str">
        <f>IFERROR(INDEX(Items[Fractional Producers for Selected Count], Items[[#This Row],[Condensed]]), "")</f>
        <v/>
      </c>
      <c r="J51" s="5" t="str">
        <f>IFERROR(INDEX(Items[Base Cycle Time], MATCH(ThingsNeeded[[#This Row],[Component]], Items[Name], 0)), "")</f>
        <v/>
      </c>
      <c r="K51" s="5" t="str">
        <f>IFERROR(ROUND(1 / ThingsNeeded[[#This Row],[Produced Per Second]], 2), "")</f>
        <v/>
      </c>
      <c r="L51" s="5" t="str">
        <f>IFERROR(INDEX(Items[Per Second], MATCH(ThingsNeeded[[#This Row],[Component]], Items[Name], 0)), "")</f>
        <v/>
      </c>
      <c r="M51" s="4" t="str">
        <f>IFERROR(LEFT(INDEX(Items[Producer Type], Items[[#This Row],[Condensed]]), 1), "")</f>
        <v/>
      </c>
      <c r="N51" s="58" t="str">
        <f>IFERROR(CEILING(INDEX(Items[Selected Per Second], Items[[#This Row],[Condensed]]), 0.01), "")</f>
        <v/>
      </c>
      <c r="O51" s="5" t="str">
        <f>IFERROR(ROUND(ThingsNeeded[[#This Row],[Producers]] / ThingsNeeded[[#This Row],[Fractional Producers]] * ThingsNeeded[[#This Row],[Needed Per Second]], 2), "")</f>
        <v/>
      </c>
      <c r="P51" s="19">
        <f>IFERROR(IF(ThingsNeeded[[#This Row],[Used]], 0, ROUND(ThingsNeeded[[#This Row],[Created Per Second]] / ThingsNeeded[[#This Row],[Needed Per Second]] - 1, 2)), "")</f>
        <v>0</v>
      </c>
      <c r="Q51" s="17">
        <f>COUNTIF(ComponentRecipes2[Component], ThingsNeeded[[#This Row],[Component]])</f>
        <v>294</v>
      </c>
      <c r="R51" s="5" t="str">
        <f>IF(ThingsNeeded[[#This Row],[Component]] = "", "", COUNTIF(Recipes[Name], ThingsNeeded[[#This Row],[Component]]))</f>
        <v/>
      </c>
      <c r="S51" s="16" t="b">
        <v>1</v>
      </c>
      <c r="U51" s="6">
        <f t="shared" si="0"/>
        <v>5</v>
      </c>
      <c r="V51" s="51" t="str">
        <f>IFERROR(Recipes[[#This Row],[Selected Name]], "")</f>
        <v/>
      </c>
      <c r="W51" s="51" t="str">
        <f>IFERROR(Recipes[[#This Row],[Selected Component]], "")</f>
        <v/>
      </c>
      <c r="X51" s="52" t="str">
        <f>IFERROR(Recipes[[#This Row],[Selected Quantity]], "")</f>
        <v/>
      </c>
      <c r="Z51" s="53">
        <f t="shared" si="1"/>
        <v>6</v>
      </c>
      <c r="AA51" s="51" t="str">
        <f>IFERROR(Recipes2[[#This Row],[Selected Component]], "")</f>
        <v/>
      </c>
      <c r="AB51" s="51" t="str">
        <f>IFERROR(Recipes2[[#This Row],[Selected Name]], "")</f>
        <v/>
      </c>
      <c r="AC51" s="52" t="str">
        <f>IFERROR(Recipes2[[#This Row],[Selected Quantity]], "")</f>
        <v/>
      </c>
    </row>
    <row r="52" spans="7:29" x14ac:dyDescent="0.25">
      <c r="G52" s="3" t="str">
        <f>IFERROR(INDEX(Items[Name], Items[[#This Row],[Condensed]]), "")</f>
        <v/>
      </c>
      <c r="H52" s="7" t="str">
        <f>IFERROR(INDEX(Items[Producers For Selected Count], Items[[#This Row],[Condensed]]), "")</f>
        <v/>
      </c>
      <c r="I52" s="7" t="str">
        <f>IFERROR(INDEX(Items[Fractional Producers for Selected Count], Items[[#This Row],[Condensed]]), "")</f>
        <v/>
      </c>
      <c r="J52" s="5" t="str">
        <f>IFERROR(INDEX(Items[Base Cycle Time], MATCH(ThingsNeeded[[#This Row],[Component]], Items[Name], 0)), "")</f>
        <v/>
      </c>
      <c r="K52" s="5" t="str">
        <f>IFERROR(ROUND(1 / ThingsNeeded[[#This Row],[Produced Per Second]], 2), "")</f>
        <v/>
      </c>
      <c r="L52" s="5" t="str">
        <f>IFERROR(INDEX(Items[Per Second], MATCH(ThingsNeeded[[#This Row],[Component]], Items[Name], 0)), "")</f>
        <v/>
      </c>
      <c r="M52" s="4" t="str">
        <f>IFERROR(LEFT(INDEX(Items[Producer Type], Items[[#This Row],[Condensed]]), 1), "")</f>
        <v/>
      </c>
      <c r="N52" s="58" t="str">
        <f>IFERROR(CEILING(INDEX(Items[Selected Per Second], Items[[#This Row],[Condensed]]), 0.01), "")</f>
        <v/>
      </c>
      <c r="O52" s="5" t="str">
        <f>IFERROR(ROUND(ThingsNeeded[[#This Row],[Producers]] / ThingsNeeded[[#This Row],[Fractional Producers]] * ThingsNeeded[[#This Row],[Needed Per Second]], 2), "")</f>
        <v/>
      </c>
      <c r="P52" s="19">
        <f>IFERROR(IF(ThingsNeeded[[#This Row],[Used]], 0, ROUND(ThingsNeeded[[#This Row],[Created Per Second]] / ThingsNeeded[[#This Row],[Needed Per Second]] - 1, 2)), "")</f>
        <v>0</v>
      </c>
      <c r="Q52" s="17">
        <f>COUNTIF(ComponentRecipes2[Component], ThingsNeeded[[#This Row],[Component]])</f>
        <v>294</v>
      </c>
      <c r="R52" s="5" t="str">
        <f>IF(ThingsNeeded[[#This Row],[Component]] = "", "", COUNTIF(Recipes[Name], ThingsNeeded[[#This Row],[Component]]))</f>
        <v/>
      </c>
      <c r="S52" s="16" t="b">
        <v>1</v>
      </c>
      <c r="U52" s="6">
        <f t="shared" si="0"/>
        <v>5</v>
      </c>
      <c r="V52" s="51" t="str">
        <f>IFERROR(Recipes[[#This Row],[Selected Name]], "")</f>
        <v/>
      </c>
      <c r="W52" s="51" t="str">
        <f>IFERROR(Recipes[[#This Row],[Selected Component]], "")</f>
        <v/>
      </c>
      <c r="X52" s="52" t="str">
        <f>IFERROR(Recipes[[#This Row],[Selected Quantity]], "")</f>
        <v/>
      </c>
      <c r="Z52" s="53">
        <f t="shared" si="1"/>
        <v>6</v>
      </c>
      <c r="AA52" s="51" t="str">
        <f>IFERROR(Recipes2[[#This Row],[Selected Component]], "")</f>
        <v/>
      </c>
      <c r="AB52" s="51" t="str">
        <f>IFERROR(Recipes2[[#This Row],[Selected Name]], "")</f>
        <v/>
      </c>
      <c r="AC52" s="52" t="str">
        <f>IFERROR(Recipes2[[#This Row],[Selected Quantity]], "")</f>
        <v/>
      </c>
    </row>
    <row r="53" spans="7:29" x14ac:dyDescent="0.25">
      <c r="G53" s="3" t="str">
        <f>IFERROR(INDEX(Items[Name], Items[[#This Row],[Condensed]]), "")</f>
        <v/>
      </c>
      <c r="H53" s="7" t="str">
        <f>IFERROR(INDEX(Items[Producers For Selected Count], Items[[#This Row],[Condensed]]), "")</f>
        <v/>
      </c>
      <c r="I53" s="7" t="str">
        <f>IFERROR(INDEX(Items[Fractional Producers for Selected Count], Items[[#This Row],[Condensed]]), "")</f>
        <v/>
      </c>
      <c r="J53" s="5" t="str">
        <f>IFERROR(INDEX(Items[Base Cycle Time], MATCH(ThingsNeeded[[#This Row],[Component]], Items[Name], 0)), "")</f>
        <v/>
      </c>
      <c r="K53" s="5" t="str">
        <f>IFERROR(ROUND(1 / ThingsNeeded[[#This Row],[Produced Per Second]], 2), "")</f>
        <v/>
      </c>
      <c r="L53" s="5" t="str">
        <f>IFERROR(INDEX(Items[Per Second], MATCH(ThingsNeeded[[#This Row],[Component]], Items[Name], 0)), "")</f>
        <v/>
      </c>
      <c r="M53" s="4" t="str">
        <f>IFERROR(LEFT(INDEX(Items[Producer Type], Items[[#This Row],[Condensed]]), 1), "")</f>
        <v/>
      </c>
      <c r="N53" s="58" t="str">
        <f>IFERROR(CEILING(INDEX(Items[Selected Per Second], Items[[#This Row],[Condensed]]), 0.01), "")</f>
        <v/>
      </c>
      <c r="O53" s="5" t="str">
        <f>IFERROR(ROUND(ThingsNeeded[[#This Row],[Producers]] / ThingsNeeded[[#This Row],[Fractional Producers]] * ThingsNeeded[[#This Row],[Needed Per Second]], 2), "")</f>
        <v/>
      </c>
      <c r="P53" s="19">
        <f>IFERROR(IF(ThingsNeeded[[#This Row],[Used]], 0, ROUND(ThingsNeeded[[#This Row],[Created Per Second]] / ThingsNeeded[[#This Row],[Needed Per Second]] - 1, 2)), "")</f>
        <v>0</v>
      </c>
      <c r="Q53" s="17">
        <f>COUNTIF(ComponentRecipes2[Component], ThingsNeeded[[#This Row],[Component]])</f>
        <v>294</v>
      </c>
      <c r="R53" s="5" t="str">
        <f>IF(ThingsNeeded[[#This Row],[Component]] = "", "", COUNTIF(Recipes[Name], ThingsNeeded[[#This Row],[Component]]))</f>
        <v/>
      </c>
      <c r="S53" s="16" t="b">
        <v>1</v>
      </c>
      <c r="U53" s="6">
        <f t="shared" si="0"/>
        <v>5</v>
      </c>
      <c r="V53" s="51" t="str">
        <f>IFERROR(Recipes[[#This Row],[Selected Name]], "")</f>
        <v/>
      </c>
      <c r="W53" s="51" t="str">
        <f>IFERROR(Recipes[[#This Row],[Selected Component]], "")</f>
        <v/>
      </c>
      <c r="X53" s="52" t="str">
        <f>IFERROR(Recipes[[#This Row],[Selected Quantity]], "")</f>
        <v/>
      </c>
      <c r="Z53" s="53">
        <f t="shared" si="1"/>
        <v>6</v>
      </c>
      <c r="AA53" s="51" t="str">
        <f>IFERROR(Recipes2[[#This Row],[Selected Component]], "")</f>
        <v/>
      </c>
      <c r="AB53" s="51" t="str">
        <f>IFERROR(Recipes2[[#This Row],[Selected Name]], "")</f>
        <v/>
      </c>
      <c r="AC53" s="52" t="str">
        <f>IFERROR(Recipes2[[#This Row],[Selected Quantity]], "")</f>
        <v/>
      </c>
    </row>
    <row r="54" spans="7:29" x14ac:dyDescent="0.25">
      <c r="G54" s="3" t="str">
        <f>IFERROR(INDEX(Items[Name], Items[[#This Row],[Condensed]]), "")</f>
        <v/>
      </c>
      <c r="H54" s="7" t="str">
        <f>IFERROR(INDEX(Items[Producers For Selected Count], Items[[#This Row],[Condensed]]), "")</f>
        <v/>
      </c>
      <c r="I54" s="7" t="str">
        <f>IFERROR(INDEX(Items[Fractional Producers for Selected Count], Items[[#This Row],[Condensed]]), "")</f>
        <v/>
      </c>
      <c r="J54" s="5" t="str">
        <f>IFERROR(INDEX(Items[Base Cycle Time], MATCH(ThingsNeeded[[#This Row],[Component]], Items[Name], 0)), "")</f>
        <v/>
      </c>
      <c r="K54" s="5" t="str">
        <f>IFERROR(ROUND(1 / ThingsNeeded[[#This Row],[Produced Per Second]], 2), "")</f>
        <v/>
      </c>
      <c r="L54" s="5" t="str">
        <f>IFERROR(INDEX(Items[Per Second], MATCH(ThingsNeeded[[#This Row],[Component]], Items[Name], 0)), "")</f>
        <v/>
      </c>
      <c r="M54" s="4" t="str">
        <f>IFERROR(LEFT(INDEX(Items[Producer Type], Items[[#This Row],[Condensed]]), 1), "")</f>
        <v/>
      </c>
      <c r="N54" s="58" t="str">
        <f>IFERROR(CEILING(INDEX(Items[Selected Per Second], Items[[#This Row],[Condensed]]), 0.01), "")</f>
        <v/>
      </c>
      <c r="O54" s="5" t="str">
        <f>IFERROR(ROUND(ThingsNeeded[[#This Row],[Producers]] / ThingsNeeded[[#This Row],[Fractional Producers]] * ThingsNeeded[[#This Row],[Needed Per Second]], 2), "")</f>
        <v/>
      </c>
      <c r="P54" s="19">
        <f>IFERROR(IF(ThingsNeeded[[#This Row],[Used]], 0, ROUND(ThingsNeeded[[#This Row],[Created Per Second]] / ThingsNeeded[[#This Row],[Needed Per Second]] - 1, 2)), "")</f>
        <v>0</v>
      </c>
      <c r="Q54" s="17">
        <f>COUNTIF(ComponentRecipes2[Component], ThingsNeeded[[#This Row],[Component]])</f>
        <v>294</v>
      </c>
      <c r="R54" s="5" t="str">
        <f>IF(ThingsNeeded[[#This Row],[Component]] = "", "", COUNTIF(Recipes[Name], ThingsNeeded[[#This Row],[Component]]))</f>
        <v/>
      </c>
      <c r="S54" s="16" t="b">
        <v>1</v>
      </c>
      <c r="U54" s="6">
        <f t="shared" si="0"/>
        <v>5</v>
      </c>
      <c r="V54" s="51" t="str">
        <f>IFERROR(Recipes[[#This Row],[Selected Name]], "")</f>
        <v/>
      </c>
      <c r="W54" s="51" t="str">
        <f>IFERROR(Recipes[[#This Row],[Selected Component]], "")</f>
        <v/>
      </c>
      <c r="X54" s="52" t="str">
        <f>IFERROR(Recipes[[#This Row],[Selected Quantity]], "")</f>
        <v/>
      </c>
      <c r="Z54" s="53">
        <f t="shared" si="1"/>
        <v>6</v>
      </c>
      <c r="AA54" s="51" t="str">
        <f>IFERROR(Recipes2[[#This Row],[Selected Component]], "")</f>
        <v/>
      </c>
      <c r="AB54" s="51" t="str">
        <f>IFERROR(Recipes2[[#This Row],[Selected Name]], "")</f>
        <v/>
      </c>
      <c r="AC54" s="52" t="str">
        <f>IFERROR(Recipes2[[#This Row],[Selected Quantity]], "")</f>
        <v/>
      </c>
    </row>
    <row r="55" spans="7:29" x14ac:dyDescent="0.25">
      <c r="G55" s="3" t="str">
        <f>IFERROR(INDEX(Items[Name], Items[[#This Row],[Condensed]]), "")</f>
        <v/>
      </c>
      <c r="H55" s="7" t="str">
        <f>IFERROR(INDEX(Items[Producers For Selected Count], Items[[#This Row],[Condensed]]), "")</f>
        <v/>
      </c>
      <c r="I55" s="7" t="str">
        <f>IFERROR(INDEX(Items[Fractional Producers for Selected Count], Items[[#This Row],[Condensed]]), "")</f>
        <v/>
      </c>
      <c r="J55" s="5" t="str">
        <f>IFERROR(INDEX(Items[Base Cycle Time], MATCH(ThingsNeeded[[#This Row],[Component]], Items[Name], 0)), "")</f>
        <v/>
      </c>
      <c r="K55" s="5" t="str">
        <f>IFERROR(ROUND(1 / ThingsNeeded[[#This Row],[Produced Per Second]], 2), "")</f>
        <v/>
      </c>
      <c r="L55" s="5" t="str">
        <f>IFERROR(INDEX(Items[Per Second], MATCH(ThingsNeeded[[#This Row],[Component]], Items[Name], 0)), "")</f>
        <v/>
      </c>
      <c r="M55" s="4" t="str">
        <f>IFERROR(LEFT(INDEX(Items[Producer Type], Items[[#This Row],[Condensed]]), 1), "")</f>
        <v/>
      </c>
      <c r="N55" s="58" t="str">
        <f>IFERROR(CEILING(INDEX(Items[Selected Per Second], Items[[#This Row],[Condensed]]), 0.01), "")</f>
        <v/>
      </c>
      <c r="O55" s="5" t="str">
        <f>IFERROR(ROUND(ThingsNeeded[[#This Row],[Producers]] / ThingsNeeded[[#This Row],[Fractional Producers]] * ThingsNeeded[[#This Row],[Needed Per Second]], 2), "")</f>
        <v/>
      </c>
      <c r="P55" s="19">
        <f>IFERROR(IF(ThingsNeeded[[#This Row],[Used]], 0, ROUND(ThingsNeeded[[#This Row],[Created Per Second]] / ThingsNeeded[[#This Row],[Needed Per Second]] - 1, 2)), "")</f>
        <v>0</v>
      </c>
      <c r="Q55" s="17">
        <f>COUNTIF(ComponentRecipes2[Component], ThingsNeeded[[#This Row],[Component]])</f>
        <v>294</v>
      </c>
      <c r="R55" s="5" t="str">
        <f>IF(ThingsNeeded[[#This Row],[Component]] = "", "", COUNTIF(Recipes[Name], ThingsNeeded[[#This Row],[Component]]))</f>
        <v/>
      </c>
      <c r="S55" s="16" t="b">
        <v>1</v>
      </c>
      <c r="U55" s="6">
        <f t="shared" si="0"/>
        <v>5</v>
      </c>
      <c r="V55" s="51" t="str">
        <f>IFERROR(Recipes[[#This Row],[Selected Name]], "")</f>
        <v/>
      </c>
      <c r="W55" s="51" t="str">
        <f>IFERROR(Recipes[[#This Row],[Selected Component]], "")</f>
        <v/>
      </c>
      <c r="X55" s="52" t="str">
        <f>IFERROR(Recipes[[#This Row],[Selected Quantity]], "")</f>
        <v/>
      </c>
      <c r="Z55" s="53">
        <f t="shared" si="1"/>
        <v>6</v>
      </c>
      <c r="AA55" s="51" t="str">
        <f>IFERROR(Recipes2[[#This Row],[Selected Component]], "")</f>
        <v/>
      </c>
      <c r="AB55" s="51" t="str">
        <f>IFERROR(Recipes2[[#This Row],[Selected Name]], "")</f>
        <v/>
      </c>
      <c r="AC55" s="52" t="str">
        <f>IFERROR(Recipes2[[#This Row],[Selected Quantity]], "")</f>
        <v/>
      </c>
    </row>
    <row r="56" spans="7:29" x14ac:dyDescent="0.25">
      <c r="G56" s="3" t="str">
        <f>IFERROR(INDEX(Items[Name], Items[[#This Row],[Condensed]]), "")</f>
        <v/>
      </c>
      <c r="H56" s="7" t="str">
        <f>IFERROR(INDEX(Items[Producers For Selected Count], Items[[#This Row],[Condensed]]), "")</f>
        <v/>
      </c>
      <c r="I56" s="7" t="str">
        <f>IFERROR(INDEX(Items[Fractional Producers for Selected Count], Items[[#This Row],[Condensed]]), "")</f>
        <v/>
      </c>
      <c r="J56" s="5" t="str">
        <f>IFERROR(INDEX(Items[Base Cycle Time], MATCH(ThingsNeeded[[#This Row],[Component]], Items[Name], 0)), "")</f>
        <v/>
      </c>
      <c r="K56" s="5" t="str">
        <f>IFERROR(ROUND(1 / ThingsNeeded[[#This Row],[Produced Per Second]], 2), "")</f>
        <v/>
      </c>
      <c r="L56" s="5" t="str">
        <f>IFERROR(INDEX(Items[Per Second], MATCH(ThingsNeeded[[#This Row],[Component]], Items[Name], 0)), "")</f>
        <v/>
      </c>
      <c r="M56" s="4" t="str">
        <f>IFERROR(LEFT(INDEX(Items[Producer Type], Items[[#This Row],[Condensed]]), 1), "")</f>
        <v/>
      </c>
      <c r="N56" s="58" t="str">
        <f>IFERROR(CEILING(INDEX(Items[Selected Per Second], Items[[#This Row],[Condensed]]), 0.01), "")</f>
        <v/>
      </c>
      <c r="O56" s="5" t="str">
        <f>IFERROR(ROUND(ThingsNeeded[[#This Row],[Producers]] / ThingsNeeded[[#This Row],[Fractional Producers]] * ThingsNeeded[[#This Row],[Needed Per Second]], 2), "")</f>
        <v/>
      </c>
      <c r="P56" s="19">
        <f>IFERROR(IF(ThingsNeeded[[#This Row],[Used]], 0, ROUND(ThingsNeeded[[#This Row],[Created Per Second]] / ThingsNeeded[[#This Row],[Needed Per Second]] - 1, 2)), "")</f>
        <v>0</v>
      </c>
      <c r="Q56" s="17">
        <f>COUNTIF(ComponentRecipes2[Component], ThingsNeeded[[#This Row],[Component]])</f>
        <v>294</v>
      </c>
      <c r="R56" s="5" t="str">
        <f>IF(ThingsNeeded[[#This Row],[Component]] = "", "", COUNTIF(Recipes[Name], ThingsNeeded[[#This Row],[Component]]))</f>
        <v/>
      </c>
      <c r="S56" s="16" t="b">
        <v>1</v>
      </c>
      <c r="U56" s="6">
        <f t="shared" si="0"/>
        <v>5</v>
      </c>
      <c r="V56" s="51" t="str">
        <f>IFERROR(Recipes[[#This Row],[Selected Name]], "")</f>
        <v/>
      </c>
      <c r="W56" s="51" t="str">
        <f>IFERROR(Recipes[[#This Row],[Selected Component]], "")</f>
        <v/>
      </c>
      <c r="X56" s="52" t="str">
        <f>IFERROR(Recipes[[#This Row],[Selected Quantity]], "")</f>
        <v/>
      </c>
      <c r="Z56" s="53">
        <f t="shared" si="1"/>
        <v>6</v>
      </c>
      <c r="AA56" s="51" t="str">
        <f>IFERROR(Recipes2[[#This Row],[Selected Component]], "")</f>
        <v/>
      </c>
      <c r="AB56" s="51" t="str">
        <f>IFERROR(Recipes2[[#This Row],[Selected Name]], "")</f>
        <v/>
      </c>
      <c r="AC56" s="52" t="str">
        <f>IFERROR(Recipes2[[#This Row],[Selected Quantity]], "")</f>
        <v/>
      </c>
    </row>
    <row r="57" spans="7:29" x14ac:dyDescent="0.25">
      <c r="G57" s="3" t="str">
        <f>IFERROR(INDEX(Items[Name], Items[[#This Row],[Condensed]]), "")</f>
        <v/>
      </c>
      <c r="H57" s="7" t="str">
        <f>IFERROR(INDEX(Items[Producers For Selected Count], Items[[#This Row],[Condensed]]), "")</f>
        <v/>
      </c>
      <c r="I57" s="7" t="str">
        <f>IFERROR(INDEX(Items[Fractional Producers for Selected Count], Items[[#This Row],[Condensed]]), "")</f>
        <v/>
      </c>
      <c r="J57" s="5" t="str">
        <f>IFERROR(INDEX(Items[Base Cycle Time], MATCH(ThingsNeeded[[#This Row],[Component]], Items[Name], 0)), "")</f>
        <v/>
      </c>
      <c r="K57" s="5" t="str">
        <f>IFERROR(ROUND(1 / ThingsNeeded[[#This Row],[Produced Per Second]], 2), "")</f>
        <v/>
      </c>
      <c r="L57" s="5" t="str">
        <f>IFERROR(INDEX(Items[Per Second], MATCH(ThingsNeeded[[#This Row],[Component]], Items[Name], 0)), "")</f>
        <v/>
      </c>
      <c r="M57" s="4" t="str">
        <f>IFERROR(LEFT(INDEX(Items[Producer Type], Items[[#This Row],[Condensed]]), 1), "")</f>
        <v/>
      </c>
      <c r="N57" s="58" t="str">
        <f>IFERROR(CEILING(INDEX(Items[Selected Per Second], Items[[#This Row],[Condensed]]), 0.01), "")</f>
        <v/>
      </c>
      <c r="O57" s="5" t="str">
        <f>IFERROR(ROUND(ThingsNeeded[[#This Row],[Producers]] / ThingsNeeded[[#This Row],[Fractional Producers]] * ThingsNeeded[[#This Row],[Needed Per Second]], 2), "")</f>
        <v/>
      </c>
      <c r="P57" s="19">
        <f>IFERROR(IF(ThingsNeeded[[#This Row],[Used]], 0, ROUND(ThingsNeeded[[#This Row],[Created Per Second]] / ThingsNeeded[[#This Row],[Needed Per Second]] - 1, 2)), "")</f>
        <v>0</v>
      </c>
      <c r="Q57" s="17">
        <f>COUNTIF(ComponentRecipes2[Component], ThingsNeeded[[#This Row],[Component]])</f>
        <v>294</v>
      </c>
      <c r="R57" s="5" t="str">
        <f>IF(ThingsNeeded[[#This Row],[Component]] = "", "", COUNTIF(Recipes[Name], ThingsNeeded[[#This Row],[Component]]))</f>
        <v/>
      </c>
      <c r="S57" s="16" t="b">
        <v>1</v>
      </c>
      <c r="U57" s="6">
        <f t="shared" si="0"/>
        <v>5</v>
      </c>
      <c r="V57" s="51" t="str">
        <f>IFERROR(Recipes[[#This Row],[Selected Name]], "")</f>
        <v/>
      </c>
      <c r="W57" s="51" t="str">
        <f>IFERROR(Recipes[[#This Row],[Selected Component]], "")</f>
        <v/>
      </c>
      <c r="X57" s="52" t="str">
        <f>IFERROR(Recipes[[#This Row],[Selected Quantity]], "")</f>
        <v/>
      </c>
      <c r="Z57" s="53">
        <f t="shared" si="1"/>
        <v>6</v>
      </c>
      <c r="AA57" s="51" t="str">
        <f>IFERROR(Recipes2[[#This Row],[Selected Component]], "")</f>
        <v/>
      </c>
      <c r="AB57" s="51" t="str">
        <f>IFERROR(Recipes2[[#This Row],[Selected Name]], "")</f>
        <v/>
      </c>
      <c r="AC57" s="52" t="str">
        <f>IFERROR(Recipes2[[#This Row],[Selected Quantity]], "")</f>
        <v/>
      </c>
    </row>
    <row r="58" spans="7:29" x14ac:dyDescent="0.25">
      <c r="G58" s="3" t="str">
        <f>IFERROR(INDEX(Items[Name], Items[[#This Row],[Condensed]]), "")</f>
        <v/>
      </c>
      <c r="H58" s="7" t="str">
        <f>IFERROR(INDEX(Items[Producers For Selected Count], Items[[#This Row],[Condensed]]), "")</f>
        <v/>
      </c>
      <c r="I58" s="7" t="str">
        <f>IFERROR(INDEX(Items[Fractional Producers for Selected Count], Items[[#This Row],[Condensed]]), "")</f>
        <v/>
      </c>
      <c r="J58" s="5" t="str">
        <f>IFERROR(INDEX(Items[Base Cycle Time], MATCH(ThingsNeeded[[#This Row],[Component]], Items[Name], 0)), "")</f>
        <v/>
      </c>
      <c r="K58" s="5" t="str">
        <f>IFERROR(ROUND(1 / ThingsNeeded[[#This Row],[Produced Per Second]], 2), "")</f>
        <v/>
      </c>
      <c r="L58" s="5" t="str">
        <f>IFERROR(INDEX(Items[Per Second], MATCH(ThingsNeeded[[#This Row],[Component]], Items[Name], 0)), "")</f>
        <v/>
      </c>
      <c r="M58" s="4" t="str">
        <f>IFERROR(LEFT(INDEX(Items[Producer Type], Items[[#This Row],[Condensed]]), 1), "")</f>
        <v/>
      </c>
      <c r="N58" s="58" t="str">
        <f>IFERROR(CEILING(INDEX(Items[Selected Per Second], Items[[#This Row],[Condensed]]), 0.01), "")</f>
        <v/>
      </c>
      <c r="O58" s="5" t="str">
        <f>IFERROR(ROUND(ThingsNeeded[[#This Row],[Producers]] / ThingsNeeded[[#This Row],[Fractional Producers]] * ThingsNeeded[[#This Row],[Needed Per Second]], 2), "")</f>
        <v/>
      </c>
      <c r="P58" s="19">
        <f>IFERROR(IF(ThingsNeeded[[#This Row],[Used]], 0, ROUND(ThingsNeeded[[#This Row],[Created Per Second]] / ThingsNeeded[[#This Row],[Needed Per Second]] - 1, 2)), "")</f>
        <v>0</v>
      </c>
      <c r="Q58" s="17">
        <f>COUNTIF(ComponentRecipes2[Component], ThingsNeeded[[#This Row],[Component]])</f>
        <v>294</v>
      </c>
      <c r="R58" s="5" t="str">
        <f>IF(ThingsNeeded[[#This Row],[Component]] = "", "", COUNTIF(Recipes[Name], ThingsNeeded[[#This Row],[Component]]))</f>
        <v/>
      </c>
      <c r="S58" s="16" t="b">
        <v>1</v>
      </c>
      <c r="U58" s="6">
        <f t="shared" si="0"/>
        <v>5</v>
      </c>
      <c r="V58" s="51" t="str">
        <f>IFERROR(Recipes[[#This Row],[Selected Name]], "")</f>
        <v/>
      </c>
      <c r="W58" s="51" t="str">
        <f>IFERROR(Recipes[[#This Row],[Selected Component]], "")</f>
        <v/>
      </c>
      <c r="X58" s="52" t="str">
        <f>IFERROR(Recipes[[#This Row],[Selected Quantity]], "")</f>
        <v/>
      </c>
      <c r="Z58" s="53">
        <f t="shared" si="1"/>
        <v>6</v>
      </c>
      <c r="AA58" s="51" t="str">
        <f>IFERROR(Recipes2[[#This Row],[Selected Component]], "")</f>
        <v/>
      </c>
      <c r="AB58" s="51" t="str">
        <f>IFERROR(Recipes2[[#This Row],[Selected Name]], "")</f>
        <v/>
      </c>
      <c r="AC58" s="52" t="str">
        <f>IFERROR(Recipes2[[#This Row],[Selected Quantity]], "")</f>
        <v/>
      </c>
    </row>
    <row r="59" spans="7:29" x14ac:dyDescent="0.25">
      <c r="G59" s="3" t="str">
        <f>IFERROR(INDEX(Items[Name], Items[[#This Row],[Condensed]]), "")</f>
        <v/>
      </c>
      <c r="H59" s="7" t="str">
        <f>IFERROR(INDEX(Items[Producers For Selected Count], Items[[#This Row],[Condensed]]), "")</f>
        <v/>
      </c>
      <c r="I59" s="7" t="str">
        <f>IFERROR(INDEX(Items[Fractional Producers for Selected Count], Items[[#This Row],[Condensed]]), "")</f>
        <v/>
      </c>
      <c r="J59" s="5" t="str">
        <f>IFERROR(INDEX(Items[Base Cycle Time], MATCH(ThingsNeeded[[#This Row],[Component]], Items[Name], 0)), "")</f>
        <v/>
      </c>
      <c r="K59" s="5" t="str">
        <f>IFERROR(ROUND(1 / ThingsNeeded[[#This Row],[Produced Per Second]], 2), "")</f>
        <v/>
      </c>
      <c r="L59" s="5" t="str">
        <f>IFERROR(INDEX(Items[Per Second], MATCH(ThingsNeeded[[#This Row],[Component]], Items[Name], 0)), "")</f>
        <v/>
      </c>
      <c r="M59" s="4" t="str">
        <f>IFERROR(LEFT(INDEX(Items[Producer Type], Items[[#This Row],[Condensed]]), 1), "")</f>
        <v/>
      </c>
      <c r="N59" s="58" t="str">
        <f>IFERROR(CEILING(INDEX(Items[Selected Per Second], Items[[#This Row],[Condensed]]), 0.01), "")</f>
        <v/>
      </c>
      <c r="O59" s="5" t="str">
        <f>IFERROR(ROUND(ThingsNeeded[[#This Row],[Producers]] / ThingsNeeded[[#This Row],[Fractional Producers]] * ThingsNeeded[[#This Row],[Needed Per Second]], 2), "")</f>
        <v/>
      </c>
      <c r="P59" s="19">
        <f>IFERROR(IF(ThingsNeeded[[#This Row],[Used]], 0, ROUND(ThingsNeeded[[#This Row],[Created Per Second]] / ThingsNeeded[[#This Row],[Needed Per Second]] - 1, 2)), "")</f>
        <v>0</v>
      </c>
      <c r="Q59" s="17">
        <f>COUNTIF(ComponentRecipes2[Component], ThingsNeeded[[#This Row],[Component]])</f>
        <v>294</v>
      </c>
      <c r="R59" s="5" t="str">
        <f>IF(ThingsNeeded[[#This Row],[Component]] = "", "", COUNTIF(Recipes[Name], ThingsNeeded[[#This Row],[Component]]))</f>
        <v/>
      </c>
      <c r="S59" s="16" t="b">
        <v>1</v>
      </c>
      <c r="U59" s="6">
        <f t="shared" si="0"/>
        <v>5</v>
      </c>
      <c r="V59" s="51" t="str">
        <f>IFERROR(Recipes[[#This Row],[Selected Name]], "")</f>
        <v/>
      </c>
      <c r="W59" s="51" t="str">
        <f>IFERROR(Recipes[[#This Row],[Selected Component]], "")</f>
        <v/>
      </c>
      <c r="X59" s="52" t="str">
        <f>IFERROR(Recipes[[#This Row],[Selected Quantity]], "")</f>
        <v/>
      </c>
      <c r="Z59" s="53">
        <f t="shared" si="1"/>
        <v>6</v>
      </c>
      <c r="AA59" s="51" t="str">
        <f>IFERROR(Recipes2[[#This Row],[Selected Component]], "")</f>
        <v/>
      </c>
      <c r="AB59" s="51" t="str">
        <f>IFERROR(Recipes2[[#This Row],[Selected Name]], "")</f>
        <v/>
      </c>
      <c r="AC59" s="52" t="str">
        <f>IFERROR(Recipes2[[#This Row],[Selected Quantity]], "")</f>
        <v/>
      </c>
    </row>
    <row r="60" spans="7:29" x14ac:dyDescent="0.25">
      <c r="G60" s="3" t="str">
        <f>IFERROR(INDEX(Items[Name], Items[[#This Row],[Condensed]]), "")</f>
        <v/>
      </c>
      <c r="H60" s="7" t="str">
        <f>IFERROR(INDEX(Items[Producers For Selected Count], Items[[#This Row],[Condensed]]), "")</f>
        <v/>
      </c>
      <c r="I60" s="7" t="str">
        <f>IFERROR(INDEX(Items[Fractional Producers for Selected Count], Items[[#This Row],[Condensed]]), "")</f>
        <v/>
      </c>
      <c r="J60" s="5" t="str">
        <f>IFERROR(INDEX(Items[Base Cycle Time], MATCH(ThingsNeeded[[#This Row],[Component]], Items[Name], 0)), "")</f>
        <v/>
      </c>
      <c r="K60" s="5" t="str">
        <f>IFERROR(ROUND(1 / ThingsNeeded[[#This Row],[Produced Per Second]], 2), "")</f>
        <v/>
      </c>
      <c r="L60" s="5" t="str">
        <f>IFERROR(INDEX(Items[Per Second], MATCH(ThingsNeeded[[#This Row],[Component]], Items[Name], 0)), "")</f>
        <v/>
      </c>
      <c r="M60" s="4" t="str">
        <f>IFERROR(LEFT(INDEX(Items[Producer Type], Items[[#This Row],[Condensed]]), 1), "")</f>
        <v/>
      </c>
      <c r="N60" s="58" t="str">
        <f>IFERROR(CEILING(INDEX(Items[Selected Per Second], Items[[#This Row],[Condensed]]), 0.01), "")</f>
        <v/>
      </c>
      <c r="O60" s="5" t="str">
        <f>IFERROR(ROUND(ThingsNeeded[[#This Row],[Producers]] / ThingsNeeded[[#This Row],[Fractional Producers]] * ThingsNeeded[[#This Row],[Needed Per Second]], 2), "")</f>
        <v/>
      </c>
      <c r="P60" s="19">
        <f>IFERROR(IF(ThingsNeeded[[#This Row],[Used]], 0, ROUND(ThingsNeeded[[#This Row],[Created Per Second]] / ThingsNeeded[[#This Row],[Needed Per Second]] - 1, 2)), "")</f>
        <v>0</v>
      </c>
      <c r="Q60" s="17">
        <f>COUNTIF(ComponentRecipes2[Component], ThingsNeeded[[#This Row],[Component]])</f>
        <v>294</v>
      </c>
      <c r="R60" s="5" t="str">
        <f>IF(ThingsNeeded[[#This Row],[Component]] = "", "", COUNTIF(Recipes[Name], ThingsNeeded[[#This Row],[Component]]))</f>
        <v/>
      </c>
      <c r="S60" s="16" t="b">
        <v>1</v>
      </c>
      <c r="U60" s="6">
        <f t="shared" si="0"/>
        <v>5</v>
      </c>
      <c r="V60" s="51" t="str">
        <f>IFERROR(Recipes[[#This Row],[Selected Name]], "")</f>
        <v/>
      </c>
      <c r="W60" s="51" t="str">
        <f>IFERROR(Recipes[[#This Row],[Selected Component]], "")</f>
        <v/>
      </c>
      <c r="X60" s="52" t="str">
        <f>IFERROR(Recipes[[#This Row],[Selected Quantity]], "")</f>
        <v/>
      </c>
      <c r="Z60" s="53">
        <f t="shared" si="1"/>
        <v>6</v>
      </c>
      <c r="AA60" s="51" t="str">
        <f>IFERROR(Recipes2[[#This Row],[Selected Component]], "")</f>
        <v/>
      </c>
      <c r="AB60" s="51" t="str">
        <f>IFERROR(Recipes2[[#This Row],[Selected Name]], "")</f>
        <v/>
      </c>
      <c r="AC60" s="52" t="str">
        <f>IFERROR(Recipes2[[#This Row],[Selected Quantity]], "")</f>
        <v/>
      </c>
    </row>
    <row r="61" spans="7:29" x14ac:dyDescent="0.25">
      <c r="G61" s="3" t="str">
        <f>IFERROR(INDEX(Items[Name], Items[[#This Row],[Condensed]]), "")</f>
        <v/>
      </c>
      <c r="H61" s="7" t="str">
        <f>IFERROR(INDEX(Items[Producers For Selected Count], Items[[#This Row],[Condensed]]), "")</f>
        <v/>
      </c>
      <c r="I61" s="7" t="str">
        <f>IFERROR(INDEX(Items[Fractional Producers for Selected Count], Items[[#This Row],[Condensed]]), "")</f>
        <v/>
      </c>
      <c r="J61" s="5" t="str">
        <f>IFERROR(INDEX(Items[Base Cycle Time], MATCH(ThingsNeeded[[#This Row],[Component]], Items[Name], 0)), "")</f>
        <v/>
      </c>
      <c r="K61" s="5" t="str">
        <f>IFERROR(ROUND(1 / ThingsNeeded[[#This Row],[Produced Per Second]], 2), "")</f>
        <v/>
      </c>
      <c r="L61" s="5" t="str">
        <f>IFERROR(INDEX(Items[Per Second], MATCH(ThingsNeeded[[#This Row],[Component]], Items[Name], 0)), "")</f>
        <v/>
      </c>
      <c r="M61" s="4" t="str">
        <f>IFERROR(LEFT(INDEX(Items[Producer Type], Items[[#This Row],[Condensed]]), 1), "")</f>
        <v/>
      </c>
      <c r="N61" s="58" t="str">
        <f>IFERROR(CEILING(INDEX(Items[Selected Per Second], Items[[#This Row],[Condensed]]), 0.01), "")</f>
        <v/>
      </c>
      <c r="O61" s="5" t="str">
        <f>IFERROR(ROUND(ThingsNeeded[[#This Row],[Producers]] / ThingsNeeded[[#This Row],[Fractional Producers]] * ThingsNeeded[[#This Row],[Needed Per Second]], 2), "")</f>
        <v/>
      </c>
      <c r="P61" s="19">
        <f>IFERROR(IF(ThingsNeeded[[#This Row],[Used]], 0, ROUND(ThingsNeeded[[#This Row],[Created Per Second]] / ThingsNeeded[[#This Row],[Needed Per Second]] - 1, 2)), "")</f>
        <v>0</v>
      </c>
      <c r="Q61" s="17">
        <f>COUNTIF(ComponentRecipes2[Component], ThingsNeeded[[#This Row],[Component]])</f>
        <v>294</v>
      </c>
      <c r="R61" s="5" t="str">
        <f>IF(ThingsNeeded[[#This Row],[Component]] = "", "", COUNTIF(Recipes[Name], ThingsNeeded[[#This Row],[Component]]))</f>
        <v/>
      </c>
      <c r="S61" s="16" t="b">
        <v>1</v>
      </c>
      <c r="U61" s="6">
        <f t="shared" si="0"/>
        <v>5</v>
      </c>
      <c r="V61" s="51" t="str">
        <f>IFERROR(Recipes[[#This Row],[Selected Name]], "")</f>
        <v/>
      </c>
      <c r="W61" s="51" t="str">
        <f>IFERROR(Recipes[[#This Row],[Selected Component]], "")</f>
        <v/>
      </c>
      <c r="X61" s="52" t="str">
        <f>IFERROR(Recipes[[#This Row],[Selected Quantity]], "")</f>
        <v/>
      </c>
      <c r="Z61" s="53">
        <f t="shared" si="1"/>
        <v>6</v>
      </c>
      <c r="AA61" s="51" t="str">
        <f>IFERROR(Recipes2[[#This Row],[Selected Component]], "")</f>
        <v/>
      </c>
      <c r="AB61" s="51" t="str">
        <f>IFERROR(Recipes2[[#This Row],[Selected Name]], "")</f>
        <v/>
      </c>
      <c r="AC61" s="52" t="str">
        <f>IFERROR(Recipes2[[#This Row],[Selected Quantity]], "")</f>
        <v/>
      </c>
    </row>
    <row r="62" spans="7:29" x14ac:dyDescent="0.25">
      <c r="G62" s="3" t="str">
        <f>IFERROR(INDEX(Items[Name], Items[[#This Row],[Condensed]]), "")</f>
        <v/>
      </c>
      <c r="H62" s="7" t="str">
        <f>IFERROR(INDEX(Items[Producers For Selected Count], Items[[#This Row],[Condensed]]), "")</f>
        <v/>
      </c>
      <c r="I62" s="7" t="str">
        <f>IFERROR(INDEX(Items[Fractional Producers for Selected Count], Items[[#This Row],[Condensed]]), "")</f>
        <v/>
      </c>
      <c r="J62" s="5" t="str">
        <f>IFERROR(INDEX(Items[Base Cycle Time], MATCH(ThingsNeeded[[#This Row],[Component]], Items[Name], 0)), "")</f>
        <v/>
      </c>
      <c r="K62" s="5" t="str">
        <f>IFERROR(ROUND(1 / ThingsNeeded[[#This Row],[Produced Per Second]], 2), "")</f>
        <v/>
      </c>
      <c r="L62" s="5" t="str">
        <f>IFERROR(INDEX(Items[Per Second], MATCH(ThingsNeeded[[#This Row],[Component]], Items[Name], 0)), "")</f>
        <v/>
      </c>
      <c r="M62" s="4" t="str">
        <f>IFERROR(LEFT(INDEX(Items[Producer Type], Items[[#This Row],[Condensed]]), 1), "")</f>
        <v/>
      </c>
      <c r="N62" s="58" t="str">
        <f>IFERROR(CEILING(INDEX(Items[Selected Per Second], Items[[#This Row],[Condensed]]), 0.01), "")</f>
        <v/>
      </c>
      <c r="O62" s="5" t="str">
        <f>IFERROR(ROUND(ThingsNeeded[[#This Row],[Producers]] / ThingsNeeded[[#This Row],[Fractional Producers]] * ThingsNeeded[[#This Row],[Needed Per Second]], 2), "")</f>
        <v/>
      </c>
      <c r="P62" s="19">
        <f>IFERROR(IF(ThingsNeeded[[#This Row],[Used]], 0, ROUND(ThingsNeeded[[#This Row],[Created Per Second]] / ThingsNeeded[[#This Row],[Needed Per Second]] - 1, 2)), "")</f>
        <v>0</v>
      </c>
      <c r="Q62" s="17">
        <f>COUNTIF(ComponentRecipes2[Component], ThingsNeeded[[#This Row],[Component]])</f>
        <v>294</v>
      </c>
      <c r="R62" s="5" t="str">
        <f>IF(ThingsNeeded[[#This Row],[Component]] = "", "", COUNTIF(Recipes[Name], ThingsNeeded[[#This Row],[Component]]))</f>
        <v/>
      </c>
      <c r="S62" s="16" t="b">
        <v>1</v>
      </c>
      <c r="U62" s="6">
        <f t="shared" si="0"/>
        <v>5</v>
      </c>
      <c r="V62" s="51" t="str">
        <f>IFERROR(Recipes[[#This Row],[Selected Name]], "")</f>
        <v/>
      </c>
      <c r="W62" s="51" t="str">
        <f>IFERROR(Recipes[[#This Row],[Selected Component]], "")</f>
        <v/>
      </c>
      <c r="X62" s="52" t="str">
        <f>IFERROR(Recipes[[#This Row],[Selected Quantity]], "")</f>
        <v/>
      </c>
      <c r="Z62" s="53">
        <f t="shared" si="1"/>
        <v>6</v>
      </c>
      <c r="AA62" s="51" t="str">
        <f>IFERROR(Recipes2[[#This Row],[Selected Component]], "")</f>
        <v/>
      </c>
      <c r="AB62" s="51" t="str">
        <f>IFERROR(Recipes2[[#This Row],[Selected Name]], "")</f>
        <v/>
      </c>
      <c r="AC62" s="52" t="str">
        <f>IFERROR(Recipes2[[#This Row],[Selected Quantity]], "")</f>
        <v/>
      </c>
    </row>
    <row r="63" spans="7:29" x14ac:dyDescent="0.25">
      <c r="G63" s="3" t="str">
        <f>IFERROR(INDEX(Items[Name], Items[[#This Row],[Condensed]]), "")</f>
        <v/>
      </c>
      <c r="H63" s="7" t="str">
        <f>IFERROR(INDEX(Items[Producers For Selected Count], Items[[#This Row],[Condensed]]), "")</f>
        <v/>
      </c>
      <c r="I63" s="7" t="str">
        <f>IFERROR(INDEX(Items[Fractional Producers for Selected Count], Items[[#This Row],[Condensed]]), "")</f>
        <v/>
      </c>
      <c r="J63" s="5" t="str">
        <f>IFERROR(INDEX(Items[Base Cycle Time], MATCH(ThingsNeeded[[#This Row],[Component]], Items[Name], 0)), "")</f>
        <v/>
      </c>
      <c r="K63" s="5" t="str">
        <f>IFERROR(ROUND(1 / ThingsNeeded[[#This Row],[Produced Per Second]], 2), "")</f>
        <v/>
      </c>
      <c r="L63" s="5" t="str">
        <f>IFERROR(INDEX(Items[Per Second], MATCH(ThingsNeeded[[#This Row],[Component]], Items[Name], 0)), "")</f>
        <v/>
      </c>
      <c r="M63" s="4" t="str">
        <f>IFERROR(LEFT(INDEX(Items[Producer Type], Items[[#This Row],[Condensed]]), 1), "")</f>
        <v/>
      </c>
      <c r="N63" s="58" t="str">
        <f>IFERROR(CEILING(INDEX(Items[Selected Per Second], Items[[#This Row],[Condensed]]), 0.01), "")</f>
        <v/>
      </c>
      <c r="O63" s="5" t="str">
        <f>IFERROR(ROUND(ThingsNeeded[[#This Row],[Producers]] / ThingsNeeded[[#This Row],[Fractional Producers]] * ThingsNeeded[[#This Row],[Needed Per Second]], 2), "")</f>
        <v/>
      </c>
      <c r="P63" s="19">
        <f>IFERROR(IF(ThingsNeeded[[#This Row],[Used]], 0, ROUND(ThingsNeeded[[#This Row],[Created Per Second]] / ThingsNeeded[[#This Row],[Needed Per Second]] - 1, 2)), "")</f>
        <v>0</v>
      </c>
      <c r="Q63" s="17">
        <f>COUNTIF(ComponentRecipes2[Component], ThingsNeeded[[#This Row],[Component]])</f>
        <v>294</v>
      </c>
      <c r="R63" s="5" t="str">
        <f>IF(ThingsNeeded[[#This Row],[Component]] = "", "", COUNTIF(Recipes[Name], ThingsNeeded[[#This Row],[Component]]))</f>
        <v/>
      </c>
      <c r="S63" s="16" t="b">
        <v>1</v>
      </c>
      <c r="U63" s="6">
        <f t="shared" si="0"/>
        <v>5</v>
      </c>
      <c r="V63" s="51" t="str">
        <f>IFERROR(Recipes[[#This Row],[Selected Name]], "")</f>
        <v/>
      </c>
      <c r="W63" s="51" t="str">
        <f>IFERROR(Recipes[[#This Row],[Selected Component]], "")</f>
        <v/>
      </c>
      <c r="X63" s="52" t="str">
        <f>IFERROR(Recipes[[#This Row],[Selected Quantity]], "")</f>
        <v/>
      </c>
      <c r="Z63" s="53">
        <f t="shared" si="1"/>
        <v>6</v>
      </c>
      <c r="AA63" s="51" t="str">
        <f>IFERROR(Recipes2[[#This Row],[Selected Component]], "")</f>
        <v/>
      </c>
      <c r="AB63" s="51" t="str">
        <f>IFERROR(Recipes2[[#This Row],[Selected Name]], "")</f>
        <v/>
      </c>
      <c r="AC63" s="52" t="str">
        <f>IFERROR(Recipes2[[#This Row],[Selected Quantity]], "")</f>
        <v/>
      </c>
    </row>
    <row r="64" spans="7:29" x14ac:dyDescent="0.25">
      <c r="G64" s="3" t="str">
        <f>IFERROR(INDEX(Items[Name], Items[[#This Row],[Condensed]]), "")</f>
        <v/>
      </c>
      <c r="H64" s="7" t="str">
        <f>IFERROR(INDEX(Items[Producers For Selected Count], Items[[#This Row],[Condensed]]), "")</f>
        <v/>
      </c>
      <c r="I64" s="7" t="str">
        <f>IFERROR(INDEX(Items[Fractional Producers for Selected Count], Items[[#This Row],[Condensed]]), "")</f>
        <v/>
      </c>
      <c r="J64" s="5" t="str">
        <f>IFERROR(INDEX(Items[Base Cycle Time], MATCH(ThingsNeeded[[#This Row],[Component]], Items[Name], 0)), "")</f>
        <v/>
      </c>
      <c r="K64" s="5" t="str">
        <f>IFERROR(ROUND(1 / ThingsNeeded[[#This Row],[Produced Per Second]], 2), "")</f>
        <v/>
      </c>
      <c r="L64" s="5" t="str">
        <f>IFERROR(INDEX(Items[Per Second], MATCH(ThingsNeeded[[#This Row],[Component]], Items[Name], 0)), "")</f>
        <v/>
      </c>
      <c r="M64" s="4" t="str">
        <f>IFERROR(LEFT(INDEX(Items[Producer Type], Items[[#This Row],[Condensed]]), 1), "")</f>
        <v/>
      </c>
      <c r="N64" s="58" t="str">
        <f>IFERROR(CEILING(INDEX(Items[Selected Per Second], Items[[#This Row],[Condensed]]), 0.01), "")</f>
        <v/>
      </c>
      <c r="O64" s="5" t="str">
        <f>IFERROR(ROUND(ThingsNeeded[[#This Row],[Producers]] / ThingsNeeded[[#This Row],[Fractional Producers]] * ThingsNeeded[[#This Row],[Needed Per Second]], 2), "")</f>
        <v/>
      </c>
      <c r="P64" s="19">
        <f>IFERROR(IF(ThingsNeeded[[#This Row],[Used]], 0, ROUND(ThingsNeeded[[#This Row],[Created Per Second]] / ThingsNeeded[[#This Row],[Needed Per Second]] - 1, 2)), "")</f>
        <v>0</v>
      </c>
      <c r="Q64" s="17">
        <f>COUNTIF(ComponentRecipes2[Component], ThingsNeeded[[#This Row],[Component]])</f>
        <v>294</v>
      </c>
      <c r="R64" s="5" t="str">
        <f>IF(ThingsNeeded[[#This Row],[Component]] = "", "", COUNTIF(Recipes[Name], ThingsNeeded[[#This Row],[Component]]))</f>
        <v/>
      </c>
      <c r="S64" s="16" t="b">
        <v>1</v>
      </c>
      <c r="U64" s="6">
        <f t="shared" si="0"/>
        <v>5</v>
      </c>
      <c r="V64" s="51" t="str">
        <f>IFERROR(Recipes[[#This Row],[Selected Name]], "")</f>
        <v/>
      </c>
      <c r="W64" s="51" t="str">
        <f>IFERROR(Recipes[[#This Row],[Selected Component]], "")</f>
        <v/>
      </c>
      <c r="X64" s="52" t="str">
        <f>IFERROR(Recipes[[#This Row],[Selected Quantity]], "")</f>
        <v/>
      </c>
      <c r="Z64" s="53">
        <f t="shared" si="1"/>
        <v>6</v>
      </c>
      <c r="AA64" s="51" t="str">
        <f>IFERROR(Recipes2[[#This Row],[Selected Component]], "")</f>
        <v/>
      </c>
      <c r="AB64" s="51" t="str">
        <f>IFERROR(Recipes2[[#This Row],[Selected Name]], "")</f>
        <v/>
      </c>
      <c r="AC64" s="52" t="str">
        <f>IFERROR(Recipes2[[#This Row],[Selected Quantity]], "")</f>
        <v/>
      </c>
    </row>
    <row r="65" spans="7:29" x14ac:dyDescent="0.25">
      <c r="G65" s="3" t="str">
        <f>IFERROR(INDEX(Items[Name], Items[[#This Row],[Condensed]]), "")</f>
        <v/>
      </c>
      <c r="H65" s="7" t="str">
        <f>IFERROR(INDEX(Items[Producers For Selected Count], Items[[#This Row],[Condensed]]), "")</f>
        <v/>
      </c>
      <c r="I65" s="7" t="str">
        <f>IFERROR(INDEX(Items[Fractional Producers for Selected Count], Items[[#This Row],[Condensed]]), "")</f>
        <v/>
      </c>
      <c r="J65" s="5" t="str">
        <f>IFERROR(INDEX(Items[Base Cycle Time], MATCH(ThingsNeeded[[#This Row],[Component]], Items[Name], 0)), "")</f>
        <v/>
      </c>
      <c r="K65" s="5" t="str">
        <f>IFERROR(ROUND(1 / ThingsNeeded[[#This Row],[Produced Per Second]], 2), "")</f>
        <v/>
      </c>
      <c r="L65" s="5" t="str">
        <f>IFERROR(INDEX(Items[Per Second], MATCH(ThingsNeeded[[#This Row],[Component]], Items[Name], 0)), "")</f>
        <v/>
      </c>
      <c r="M65" s="4" t="str">
        <f>IFERROR(LEFT(INDEX(Items[Producer Type], Items[[#This Row],[Condensed]]), 1), "")</f>
        <v/>
      </c>
      <c r="N65" s="58" t="str">
        <f>IFERROR(CEILING(INDEX(Items[Selected Per Second], Items[[#This Row],[Condensed]]), 0.01), "")</f>
        <v/>
      </c>
      <c r="O65" s="5" t="str">
        <f>IFERROR(ROUND(ThingsNeeded[[#This Row],[Producers]] / ThingsNeeded[[#This Row],[Fractional Producers]] * ThingsNeeded[[#This Row],[Needed Per Second]], 2), "")</f>
        <v/>
      </c>
      <c r="P65" s="19">
        <f>IFERROR(IF(ThingsNeeded[[#This Row],[Used]], 0, ROUND(ThingsNeeded[[#This Row],[Created Per Second]] / ThingsNeeded[[#This Row],[Needed Per Second]] - 1, 2)), "")</f>
        <v>0</v>
      </c>
      <c r="Q65" s="17">
        <f>COUNTIF(ComponentRecipes2[Component], ThingsNeeded[[#This Row],[Component]])</f>
        <v>294</v>
      </c>
      <c r="R65" s="5" t="str">
        <f>IF(ThingsNeeded[[#This Row],[Component]] = "", "", COUNTIF(Recipes[Name], ThingsNeeded[[#This Row],[Component]]))</f>
        <v/>
      </c>
      <c r="S65" s="16" t="b">
        <v>1</v>
      </c>
      <c r="U65" s="6">
        <f t="shared" si="0"/>
        <v>5</v>
      </c>
      <c r="V65" s="51" t="str">
        <f>IFERROR(Recipes[[#This Row],[Selected Name]], "")</f>
        <v/>
      </c>
      <c r="W65" s="51" t="str">
        <f>IFERROR(Recipes[[#This Row],[Selected Component]], "")</f>
        <v/>
      </c>
      <c r="X65" s="52" t="str">
        <f>IFERROR(Recipes[[#This Row],[Selected Quantity]], "")</f>
        <v/>
      </c>
      <c r="Z65" s="53">
        <f t="shared" si="1"/>
        <v>6</v>
      </c>
      <c r="AA65" s="51" t="str">
        <f>IFERROR(Recipes2[[#This Row],[Selected Component]], "")</f>
        <v/>
      </c>
      <c r="AB65" s="51" t="str">
        <f>IFERROR(Recipes2[[#This Row],[Selected Name]], "")</f>
        <v/>
      </c>
      <c r="AC65" s="52" t="str">
        <f>IFERROR(Recipes2[[#This Row],[Selected Quantity]], "")</f>
        <v/>
      </c>
    </row>
    <row r="66" spans="7:29" x14ac:dyDescent="0.25">
      <c r="G66" s="3" t="str">
        <f>IFERROR(INDEX(Items[Name], Items[[#This Row],[Condensed]]), "")</f>
        <v/>
      </c>
      <c r="H66" s="7" t="str">
        <f>IFERROR(INDEX(Items[Producers For Selected Count], Items[[#This Row],[Condensed]]), "")</f>
        <v/>
      </c>
      <c r="I66" s="7" t="str">
        <f>IFERROR(INDEX(Items[Fractional Producers for Selected Count], Items[[#This Row],[Condensed]]), "")</f>
        <v/>
      </c>
      <c r="J66" s="5" t="str">
        <f>IFERROR(INDEX(Items[Base Cycle Time], MATCH(ThingsNeeded[[#This Row],[Component]], Items[Name], 0)), "")</f>
        <v/>
      </c>
      <c r="K66" s="5" t="str">
        <f>IFERROR(ROUND(1 / ThingsNeeded[[#This Row],[Produced Per Second]], 2), "")</f>
        <v/>
      </c>
      <c r="L66" s="5" t="str">
        <f>IFERROR(INDEX(Items[Per Second], MATCH(ThingsNeeded[[#This Row],[Component]], Items[Name], 0)), "")</f>
        <v/>
      </c>
      <c r="M66" s="4" t="str">
        <f>IFERROR(LEFT(INDEX(Items[Producer Type], Items[[#This Row],[Condensed]]), 1), "")</f>
        <v/>
      </c>
      <c r="N66" s="58" t="str">
        <f>IFERROR(CEILING(INDEX(Items[Selected Per Second], Items[[#This Row],[Condensed]]), 0.01), "")</f>
        <v/>
      </c>
      <c r="O66" s="5" t="str">
        <f>IFERROR(ROUND(ThingsNeeded[[#This Row],[Producers]] / ThingsNeeded[[#This Row],[Fractional Producers]] * ThingsNeeded[[#This Row],[Needed Per Second]], 2), "")</f>
        <v/>
      </c>
      <c r="P66" s="19">
        <f>IFERROR(IF(ThingsNeeded[[#This Row],[Used]], 0, ROUND(ThingsNeeded[[#This Row],[Created Per Second]] / ThingsNeeded[[#This Row],[Needed Per Second]] - 1, 2)), "")</f>
        <v>0</v>
      </c>
      <c r="Q66" s="17">
        <f>COUNTIF(ComponentRecipes2[Component], ThingsNeeded[[#This Row],[Component]])</f>
        <v>294</v>
      </c>
      <c r="R66" s="5" t="str">
        <f>IF(ThingsNeeded[[#This Row],[Component]] = "", "", COUNTIF(Recipes[Name], ThingsNeeded[[#This Row],[Component]]))</f>
        <v/>
      </c>
      <c r="S66" s="16" t="b">
        <v>1</v>
      </c>
      <c r="U66" s="6">
        <f t="shared" ref="U66:U129" si="2">IF(V66 = V65, U65, U65 + 1)</f>
        <v>5</v>
      </c>
      <c r="V66" s="51" t="str">
        <f>IFERROR(Recipes[[#This Row],[Selected Name]], "")</f>
        <v/>
      </c>
      <c r="W66" s="51" t="str">
        <f>IFERROR(Recipes[[#This Row],[Selected Component]], "")</f>
        <v/>
      </c>
      <c r="X66" s="52" t="str">
        <f>IFERROR(Recipes[[#This Row],[Selected Quantity]], "")</f>
        <v/>
      </c>
      <c r="Z66" s="53">
        <f t="shared" ref="Z66:Z129" si="3">IF(AA66 = AA65, Z65, Z65 + 1)</f>
        <v>6</v>
      </c>
      <c r="AA66" s="51" t="str">
        <f>IFERROR(Recipes2[[#This Row],[Selected Component]], "")</f>
        <v/>
      </c>
      <c r="AB66" s="51" t="str">
        <f>IFERROR(Recipes2[[#This Row],[Selected Name]], "")</f>
        <v/>
      </c>
      <c r="AC66" s="52" t="str">
        <f>IFERROR(Recipes2[[#This Row],[Selected Quantity]], "")</f>
        <v/>
      </c>
    </row>
    <row r="67" spans="7:29" x14ac:dyDescent="0.25">
      <c r="G67" s="3" t="str">
        <f>IFERROR(INDEX(Items[Name], Items[[#This Row],[Condensed]]), "")</f>
        <v/>
      </c>
      <c r="H67" s="7" t="str">
        <f>IFERROR(INDEX(Items[Producers For Selected Count], Items[[#This Row],[Condensed]]), "")</f>
        <v/>
      </c>
      <c r="I67" s="7" t="str">
        <f>IFERROR(INDEX(Items[Fractional Producers for Selected Count], Items[[#This Row],[Condensed]]), "")</f>
        <v/>
      </c>
      <c r="J67" s="5" t="str">
        <f>IFERROR(INDEX(Items[Base Cycle Time], MATCH(ThingsNeeded[[#This Row],[Component]], Items[Name], 0)), "")</f>
        <v/>
      </c>
      <c r="K67" s="5" t="str">
        <f>IFERROR(ROUND(1 / ThingsNeeded[[#This Row],[Produced Per Second]], 2), "")</f>
        <v/>
      </c>
      <c r="L67" s="5" t="str">
        <f>IFERROR(INDEX(Items[Per Second], MATCH(ThingsNeeded[[#This Row],[Component]], Items[Name], 0)), "")</f>
        <v/>
      </c>
      <c r="M67" s="4" t="str">
        <f>IFERROR(LEFT(INDEX(Items[Producer Type], Items[[#This Row],[Condensed]]), 1), "")</f>
        <v/>
      </c>
      <c r="N67" s="58" t="str">
        <f>IFERROR(CEILING(INDEX(Items[Selected Per Second], Items[[#This Row],[Condensed]]), 0.01), "")</f>
        <v/>
      </c>
      <c r="O67" s="5" t="str">
        <f>IFERROR(ROUND(ThingsNeeded[[#This Row],[Producers]] / ThingsNeeded[[#This Row],[Fractional Producers]] * ThingsNeeded[[#This Row],[Needed Per Second]], 2), "")</f>
        <v/>
      </c>
      <c r="P67" s="19">
        <f>IFERROR(IF(ThingsNeeded[[#This Row],[Used]], 0, ROUND(ThingsNeeded[[#This Row],[Created Per Second]] / ThingsNeeded[[#This Row],[Needed Per Second]] - 1, 2)), "")</f>
        <v>0</v>
      </c>
      <c r="Q67" s="17">
        <f>COUNTIF(ComponentRecipes2[Component], ThingsNeeded[[#This Row],[Component]])</f>
        <v>294</v>
      </c>
      <c r="R67" s="5" t="str">
        <f>IF(ThingsNeeded[[#This Row],[Component]] = "", "", COUNTIF(Recipes[Name], ThingsNeeded[[#This Row],[Component]]))</f>
        <v/>
      </c>
      <c r="S67" s="16" t="b">
        <v>1</v>
      </c>
      <c r="U67" s="6">
        <f t="shared" si="2"/>
        <v>5</v>
      </c>
      <c r="V67" s="51" t="str">
        <f>IFERROR(Recipes[[#This Row],[Selected Name]], "")</f>
        <v/>
      </c>
      <c r="W67" s="51" t="str">
        <f>IFERROR(Recipes[[#This Row],[Selected Component]], "")</f>
        <v/>
      </c>
      <c r="X67" s="52" t="str">
        <f>IFERROR(Recipes[[#This Row],[Selected Quantity]], "")</f>
        <v/>
      </c>
      <c r="Z67" s="53">
        <f t="shared" si="3"/>
        <v>6</v>
      </c>
      <c r="AA67" s="51" t="str">
        <f>IFERROR(Recipes2[[#This Row],[Selected Component]], "")</f>
        <v/>
      </c>
      <c r="AB67" s="51" t="str">
        <f>IFERROR(Recipes2[[#This Row],[Selected Name]], "")</f>
        <v/>
      </c>
      <c r="AC67" s="52" t="str">
        <f>IFERROR(Recipes2[[#This Row],[Selected Quantity]], "")</f>
        <v/>
      </c>
    </row>
    <row r="68" spans="7:29" x14ac:dyDescent="0.25">
      <c r="G68" s="3" t="str">
        <f>IFERROR(INDEX(Items[Name], Items[[#This Row],[Condensed]]), "")</f>
        <v/>
      </c>
      <c r="H68" s="7" t="str">
        <f>IFERROR(INDEX(Items[Producers For Selected Count], Items[[#This Row],[Condensed]]), "")</f>
        <v/>
      </c>
      <c r="I68" s="7" t="str">
        <f>IFERROR(INDEX(Items[Fractional Producers for Selected Count], Items[[#This Row],[Condensed]]), "")</f>
        <v/>
      </c>
      <c r="J68" s="5" t="str">
        <f>IFERROR(INDEX(Items[Base Cycle Time], MATCH(ThingsNeeded[[#This Row],[Component]], Items[Name], 0)), "")</f>
        <v/>
      </c>
      <c r="K68" s="5" t="str">
        <f>IFERROR(ROUND(1 / ThingsNeeded[[#This Row],[Produced Per Second]], 2), "")</f>
        <v/>
      </c>
      <c r="L68" s="5" t="str">
        <f>IFERROR(INDEX(Items[Per Second], MATCH(ThingsNeeded[[#This Row],[Component]], Items[Name], 0)), "")</f>
        <v/>
      </c>
      <c r="M68" s="4" t="str">
        <f>IFERROR(LEFT(INDEX(Items[Producer Type], Items[[#This Row],[Condensed]]), 1), "")</f>
        <v/>
      </c>
      <c r="N68" s="58" t="str">
        <f>IFERROR(CEILING(INDEX(Items[Selected Per Second], Items[[#This Row],[Condensed]]), 0.01), "")</f>
        <v/>
      </c>
      <c r="O68" s="5" t="str">
        <f>IFERROR(ROUND(ThingsNeeded[[#This Row],[Producers]] / ThingsNeeded[[#This Row],[Fractional Producers]] * ThingsNeeded[[#This Row],[Needed Per Second]], 2), "")</f>
        <v/>
      </c>
      <c r="P68" s="19">
        <f>IFERROR(IF(ThingsNeeded[[#This Row],[Used]], 0, ROUND(ThingsNeeded[[#This Row],[Created Per Second]] / ThingsNeeded[[#This Row],[Needed Per Second]] - 1, 2)), "")</f>
        <v>0</v>
      </c>
      <c r="Q68" s="17">
        <f>COUNTIF(ComponentRecipes2[Component], ThingsNeeded[[#This Row],[Component]])</f>
        <v>294</v>
      </c>
      <c r="R68" s="5" t="str">
        <f>IF(ThingsNeeded[[#This Row],[Component]] = "", "", COUNTIF(Recipes[Name], ThingsNeeded[[#This Row],[Component]]))</f>
        <v/>
      </c>
      <c r="S68" s="16" t="b">
        <v>1</v>
      </c>
      <c r="U68" s="6">
        <f t="shared" si="2"/>
        <v>5</v>
      </c>
      <c r="V68" s="51" t="str">
        <f>IFERROR(Recipes[[#This Row],[Selected Name]], "")</f>
        <v/>
      </c>
      <c r="W68" s="51" t="str">
        <f>IFERROR(Recipes[[#This Row],[Selected Component]], "")</f>
        <v/>
      </c>
      <c r="X68" s="52" t="str">
        <f>IFERROR(Recipes[[#This Row],[Selected Quantity]], "")</f>
        <v/>
      </c>
      <c r="Z68" s="53">
        <f t="shared" si="3"/>
        <v>6</v>
      </c>
      <c r="AA68" s="51" t="str">
        <f>IFERROR(Recipes2[[#This Row],[Selected Component]], "")</f>
        <v/>
      </c>
      <c r="AB68" s="51" t="str">
        <f>IFERROR(Recipes2[[#This Row],[Selected Name]], "")</f>
        <v/>
      </c>
      <c r="AC68" s="52" t="str">
        <f>IFERROR(Recipes2[[#This Row],[Selected Quantity]], "")</f>
        <v/>
      </c>
    </row>
    <row r="69" spans="7:29" x14ac:dyDescent="0.25">
      <c r="G69" s="3" t="str">
        <f>IFERROR(INDEX(Items[Name], Items[[#This Row],[Condensed]]), "")</f>
        <v/>
      </c>
      <c r="H69" s="7" t="str">
        <f>IFERROR(INDEX(Items[Producers For Selected Count], Items[[#This Row],[Condensed]]), "")</f>
        <v/>
      </c>
      <c r="I69" s="7" t="str">
        <f>IFERROR(INDEX(Items[Fractional Producers for Selected Count], Items[[#This Row],[Condensed]]), "")</f>
        <v/>
      </c>
      <c r="J69" s="5" t="str">
        <f>IFERROR(INDEX(Items[Base Cycle Time], MATCH(ThingsNeeded[[#This Row],[Component]], Items[Name], 0)), "")</f>
        <v/>
      </c>
      <c r="K69" s="5" t="str">
        <f>IFERROR(ROUND(1 / ThingsNeeded[[#This Row],[Produced Per Second]], 2), "")</f>
        <v/>
      </c>
      <c r="L69" s="5" t="str">
        <f>IFERROR(INDEX(Items[Per Second], MATCH(ThingsNeeded[[#This Row],[Component]], Items[Name], 0)), "")</f>
        <v/>
      </c>
      <c r="M69" s="4" t="str">
        <f>IFERROR(LEFT(INDEX(Items[Producer Type], Items[[#This Row],[Condensed]]), 1), "")</f>
        <v/>
      </c>
      <c r="N69" s="58" t="str">
        <f>IFERROR(CEILING(INDEX(Items[Selected Per Second], Items[[#This Row],[Condensed]]), 0.01), "")</f>
        <v/>
      </c>
      <c r="O69" s="5" t="str">
        <f>IFERROR(ROUND(ThingsNeeded[[#This Row],[Producers]] / ThingsNeeded[[#This Row],[Fractional Producers]] * ThingsNeeded[[#This Row],[Needed Per Second]], 2), "")</f>
        <v/>
      </c>
      <c r="P69" s="19">
        <f>IFERROR(IF(ThingsNeeded[[#This Row],[Used]], 0, ROUND(ThingsNeeded[[#This Row],[Created Per Second]] / ThingsNeeded[[#This Row],[Needed Per Second]] - 1, 2)), "")</f>
        <v>0</v>
      </c>
      <c r="Q69" s="17">
        <f>COUNTIF(ComponentRecipes2[Component], ThingsNeeded[[#This Row],[Component]])</f>
        <v>294</v>
      </c>
      <c r="R69" s="5" t="str">
        <f>IF(ThingsNeeded[[#This Row],[Component]] = "", "", COUNTIF(Recipes[Name], ThingsNeeded[[#This Row],[Component]]))</f>
        <v/>
      </c>
      <c r="S69" s="16" t="b">
        <v>1</v>
      </c>
      <c r="U69" s="6">
        <f t="shared" si="2"/>
        <v>5</v>
      </c>
      <c r="V69" s="51" t="str">
        <f>IFERROR(Recipes[[#This Row],[Selected Name]], "")</f>
        <v/>
      </c>
      <c r="W69" s="51" t="str">
        <f>IFERROR(Recipes[[#This Row],[Selected Component]], "")</f>
        <v/>
      </c>
      <c r="X69" s="52" t="str">
        <f>IFERROR(Recipes[[#This Row],[Selected Quantity]], "")</f>
        <v/>
      </c>
      <c r="Z69" s="53">
        <f t="shared" si="3"/>
        <v>6</v>
      </c>
      <c r="AA69" s="51" t="str">
        <f>IFERROR(Recipes2[[#This Row],[Selected Component]], "")</f>
        <v/>
      </c>
      <c r="AB69" s="51" t="str">
        <f>IFERROR(Recipes2[[#This Row],[Selected Name]], "")</f>
        <v/>
      </c>
      <c r="AC69" s="52" t="str">
        <f>IFERROR(Recipes2[[#This Row],[Selected Quantity]], "")</f>
        <v/>
      </c>
    </row>
    <row r="70" spans="7:29" x14ac:dyDescent="0.25">
      <c r="G70" s="3" t="str">
        <f>IFERROR(INDEX(Items[Name], Items[[#This Row],[Condensed]]), "")</f>
        <v/>
      </c>
      <c r="H70" s="7" t="str">
        <f>IFERROR(INDEX(Items[Producers For Selected Count], Items[[#This Row],[Condensed]]), "")</f>
        <v/>
      </c>
      <c r="I70" s="7" t="str">
        <f>IFERROR(INDEX(Items[Fractional Producers for Selected Count], Items[[#This Row],[Condensed]]), "")</f>
        <v/>
      </c>
      <c r="J70" s="5" t="str">
        <f>IFERROR(INDEX(Items[Base Cycle Time], MATCH(ThingsNeeded[[#This Row],[Component]], Items[Name], 0)), "")</f>
        <v/>
      </c>
      <c r="K70" s="5" t="str">
        <f>IFERROR(ROUND(1 / ThingsNeeded[[#This Row],[Produced Per Second]], 2), "")</f>
        <v/>
      </c>
      <c r="L70" s="5" t="str">
        <f>IFERROR(INDEX(Items[Per Second], MATCH(ThingsNeeded[[#This Row],[Component]], Items[Name], 0)), "")</f>
        <v/>
      </c>
      <c r="M70" s="4" t="str">
        <f>IFERROR(LEFT(INDEX(Items[Producer Type], Items[[#This Row],[Condensed]]), 1), "")</f>
        <v/>
      </c>
      <c r="N70" s="58" t="str">
        <f>IFERROR(CEILING(INDEX(Items[Selected Per Second], Items[[#This Row],[Condensed]]), 0.01), "")</f>
        <v/>
      </c>
      <c r="O70" s="5" t="str">
        <f>IFERROR(ROUND(ThingsNeeded[[#This Row],[Producers]] / ThingsNeeded[[#This Row],[Fractional Producers]] * ThingsNeeded[[#This Row],[Needed Per Second]], 2), "")</f>
        <v/>
      </c>
      <c r="P70" s="19">
        <f>IFERROR(IF(ThingsNeeded[[#This Row],[Used]], 0, ROUND(ThingsNeeded[[#This Row],[Created Per Second]] / ThingsNeeded[[#This Row],[Needed Per Second]] - 1, 2)), "")</f>
        <v>0</v>
      </c>
      <c r="Q70" s="17">
        <f>COUNTIF(ComponentRecipes2[Component], ThingsNeeded[[#This Row],[Component]])</f>
        <v>294</v>
      </c>
      <c r="R70" s="5" t="str">
        <f>IF(ThingsNeeded[[#This Row],[Component]] = "", "", COUNTIF(Recipes[Name], ThingsNeeded[[#This Row],[Component]]))</f>
        <v/>
      </c>
      <c r="S70" s="16" t="b">
        <v>1</v>
      </c>
      <c r="U70" s="6">
        <f t="shared" si="2"/>
        <v>5</v>
      </c>
      <c r="V70" s="51" t="str">
        <f>IFERROR(Recipes[[#This Row],[Selected Name]], "")</f>
        <v/>
      </c>
      <c r="W70" s="51" t="str">
        <f>IFERROR(Recipes[[#This Row],[Selected Component]], "")</f>
        <v/>
      </c>
      <c r="X70" s="52" t="str">
        <f>IFERROR(Recipes[[#This Row],[Selected Quantity]], "")</f>
        <v/>
      </c>
      <c r="Z70" s="53">
        <f t="shared" si="3"/>
        <v>6</v>
      </c>
      <c r="AA70" s="51" t="str">
        <f>IFERROR(Recipes2[[#This Row],[Selected Component]], "")</f>
        <v/>
      </c>
      <c r="AB70" s="51" t="str">
        <f>IFERROR(Recipes2[[#This Row],[Selected Name]], "")</f>
        <v/>
      </c>
      <c r="AC70" s="52" t="str">
        <f>IFERROR(Recipes2[[#This Row],[Selected Quantity]], "")</f>
        <v/>
      </c>
    </row>
    <row r="71" spans="7:29" x14ac:dyDescent="0.25">
      <c r="G71" s="3" t="str">
        <f>IFERROR(INDEX(Items[Name], Items[[#This Row],[Condensed]]), "")</f>
        <v/>
      </c>
      <c r="H71" s="7" t="str">
        <f>IFERROR(INDEX(Items[Producers For Selected Count], Items[[#This Row],[Condensed]]), "")</f>
        <v/>
      </c>
      <c r="I71" s="7" t="str">
        <f>IFERROR(INDEX(Items[Fractional Producers for Selected Count], Items[[#This Row],[Condensed]]), "")</f>
        <v/>
      </c>
      <c r="J71" s="5" t="str">
        <f>IFERROR(INDEX(Items[Base Cycle Time], MATCH(ThingsNeeded[[#This Row],[Component]], Items[Name], 0)), "")</f>
        <v/>
      </c>
      <c r="K71" s="5" t="str">
        <f>IFERROR(ROUND(1 / ThingsNeeded[[#This Row],[Produced Per Second]], 2), "")</f>
        <v/>
      </c>
      <c r="L71" s="5" t="str">
        <f>IFERROR(INDEX(Items[Per Second], MATCH(ThingsNeeded[[#This Row],[Component]], Items[Name], 0)), "")</f>
        <v/>
      </c>
      <c r="M71" s="4" t="str">
        <f>IFERROR(LEFT(INDEX(Items[Producer Type], Items[[#This Row],[Condensed]]), 1), "")</f>
        <v/>
      </c>
      <c r="N71" s="58" t="str">
        <f>IFERROR(CEILING(INDEX(Items[Selected Per Second], Items[[#This Row],[Condensed]]), 0.01), "")</f>
        <v/>
      </c>
      <c r="O71" s="5" t="str">
        <f>IFERROR(ROUND(ThingsNeeded[[#This Row],[Producers]] / ThingsNeeded[[#This Row],[Fractional Producers]] * ThingsNeeded[[#This Row],[Needed Per Second]], 2), "")</f>
        <v/>
      </c>
      <c r="P71" s="19">
        <f>IFERROR(IF(ThingsNeeded[[#This Row],[Used]], 0, ROUND(ThingsNeeded[[#This Row],[Created Per Second]] / ThingsNeeded[[#This Row],[Needed Per Second]] - 1, 2)), "")</f>
        <v>0</v>
      </c>
      <c r="Q71" s="17">
        <f>COUNTIF(ComponentRecipes2[Component], ThingsNeeded[[#This Row],[Component]])</f>
        <v>294</v>
      </c>
      <c r="R71" s="5" t="str">
        <f>IF(ThingsNeeded[[#This Row],[Component]] = "", "", COUNTIF(Recipes[Name], ThingsNeeded[[#This Row],[Component]]))</f>
        <v/>
      </c>
      <c r="S71" s="16" t="b">
        <v>1</v>
      </c>
      <c r="U71" s="6">
        <f t="shared" si="2"/>
        <v>5</v>
      </c>
      <c r="V71" s="51" t="str">
        <f>IFERROR(Recipes[[#This Row],[Selected Name]], "")</f>
        <v/>
      </c>
      <c r="W71" s="51" t="str">
        <f>IFERROR(Recipes[[#This Row],[Selected Component]], "")</f>
        <v/>
      </c>
      <c r="X71" s="52" t="str">
        <f>IFERROR(Recipes[[#This Row],[Selected Quantity]], "")</f>
        <v/>
      </c>
      <c r="Z71" s="53">
        <f t="shared" si="3"/>
        <v>6</v>
      </c>
      <c r="AA71" s="51" t="str">
        <f>IFERROR(Recipes2[[#This Row],[Selected Component]], "")</f>
        <v/>
      </c>
      <c r="AB71" s="51" t="str">
        <f>IFERROR(Recipes2[[#This Row],[Selected Name]], "")</f>
        <v/>
      </c>
      <c r="AC71" s="52" t="str">
        <f>IFERROR(Recipes2[[#This Row],[Selected Quantity]], "")</f>
        <v/>
      </c>
    </row>
    <row r="72" spans="7:29" x14ac:dyDescent="0.25">
      <c r="G72" s="3" t="str">
        <f>IFERROR(INDEX(Items[Name], Items[[#This Row],[Condensed]]), "")</f>
        <v/>
      </c>
      <c r="H72" s="7" t="str">
        <f>IFERROR(INDEX(Items[Producers For Selected Count], Items[[#This Row],[Condensed]]), "")</f>
        <v/>
      </c>
      <c r="I72" s="7" t="str">
        <f>IFERROR(INDEX(Items[Fractional Producers for Selected Count], Items[[#This Row],[Condensed]]), "")</f>
        <v/>
      </c>
      <c r="J72" s="5" t="str">
        <f>IFERROR(INDEX(Items[Base Cycle Time], MATCH(ThingsNeeded[[#This Row],[Component]], Items[Name], 0)), "")</f>
        <v/>
      </c>
      <c r="K72" s="5" t="str">
        <f>IFERROR(ROUND(1 / ThingsNeeded[[#This Row],[Produced Per Second]], 2), "")</f>
        <v/>
      </c>
      <c r="L72" s="5" t="str">
        <f>IFERROR(INDEX(Items[Per Second], MATCH(ThingsNeeded[[#This Row],[Component]], Items[Name], 0)), "")</f>
        <v/>
      </c>
      <c r="M72" s="4" t="str">
        <f>IFERROR(LEFT(INDEX(Items[Producer Type], Items[[#This Row],[Condensed]]), 1), "")</f>
        <v/>
      </c>
      <c r="N72" s="58" t="str">
        <f>IFERROR(CEILING(INDEX(Items[Selected Per Second], Items[[#This Row],[Condensed]]), 0.01), "")</f>
        <v/>
      </c>
      <c r="O72" s="5" t="str">
        <f>IFERROR(ROUND(ThingsNeeded[[#This Row],[Producers]] / ThingsNeeded[[#This Row],[Fractional Producers]] * ThingsNeeded[[#This Row],[Needed Per Second]], 2), "")</f>
        <v/>
      </c>
      <c r="P72" s="19">
        <f>IFERROR(IF(ThingsNeeded[[#This Row],[Used]], 0, ROUND(ThingsNeeded[[#This Row],[Created Per Second]] / ThingsNeeded[[#This Row],[Needed Per Second]] - 1, 2)), "")</f>
        <v>0</v>
      </c>
      <c r="Q72" s="17">
        <f>COUNTIF(ComponentRecipes2[Component], ThingsNeeded[[#This Row],[Component]])</f>
        <v>294</v>
      </c>
      <c r="R72" s="5" t="str">
        <f>IF(ThingsNeeded[[#This Row],[Component]] = "", "", COUNTIF(Recipes[Name], ThingsNeeded[[#This Row],[Component]]))</f>
        <v/>
      </c>
      <c r="S72" s="16" t="b">
        <v>1</v>
      </c>
      <c r="U72" s="6">
        <f t="shared" si="2"/>
        <v>5</v>
      </c>
      <c r="V72" s="51" t="str">
        <f>IFERROR(Recipes[[#This Row],[Selected Name]], "")</f>
        <v/>
      </c>
      <c r="W72" s="51" t="str">
        <f>IFERROR(Recipes[[#This Row],[Selected Component]], "")</f>
        <v/>
      </c>
      <c r="X72" s="52" t="str">
        <f>IFERROR(Recipes[[#This Row],[Selected Quantity]], "")</f>
        <v/>
      </c>
      <c r="Z72" s="53">
        <f t="shared" si="3"/>
        <v>6</v>
      </c>
      <c r="AA72" s="51" t="str">
        <f>IFERROR(Recipes2[[#This Row],[Selected Component]], "")</f>
        <v/>
      </c>
      <c r="AB72" s="51" t="str">
        <f>IFERROR(Recipes2[[#This Row],[Selected Name]], "")</f>
        <v/>
      </c>
      <c r="AC72" s="52" t="str">
        <f>IFERROR(Recipes2[[#This Row],[Selected Quantity]], "")</f>
        <v/>
      </c>
    </row>
    <row r="73" spans="7:29" x14ac:dyDescent="0.25">
      <c r="G73" s="3" t="str">
        <f>IFERROR(INDEX(Items[Name], Items[[#This Row],[Condensed]]), "")</f>
        <v/>
      </c>
      <c r="H73" s="7" t="str">
        <f>IFERROR(INDEX(Items[Producers For Selected Count], Items[[#This Row],[Condensed]]), "")</f>
        <v/>
      </c>
      <c r="I73" s="7" t="str">
        <f>IFERROR(INDEX(Items[Fractional Producers for Selected Count], Items[[#This Row],[Condensed]]), "")</f>
        <v/>
      </c>
      <c r="J73" s="5" t="str">
        <f>IFERROR(INDEX(Items[Base Cycle Time], MATCH(ThingsNeeded[[#This Row],[Component]], Items[Name], 0)), "")</f>
        <v/>
      </c>
      <c r="K73" s="5" t="str">
        <f>IFERROR(ROUND(1 / ThingsNeeded[[#This Row],[Produced Per Second]], 2), "")</f>
        <v/>
      </c>
      <c r="L73" s="5" t="str">
        <f>IFERROR(INDEX(Items[Per Second], MATCH(ThingsNeeded[[#This Row],[Component]], Items[Name], 0)), "")</f>
        <v/>
      </c>
      <c r="M73" s="4" t="str">
        <f>IFERROR(LEFT(INDEX(Items[Producer Type], Items[[#This Row],[Condensed]]), 1), "")</f>
        <v/>
      </c>
      <c r="N73" s="58" t="str">
        <f>IFERROR(CEILING(INDEX(Items[Selected Per Second], Items[[#This Row],[Condensed]]), 0.01), "")</f>
        <v/>
      </c>
      <c r="O73" s="5" t="str">
        <f>IFERROR(ROUND(ThingsNeeded[[#This Row],[Producers]] / ThingsNeeded[[#This Row],[Fractional Producers]] * ThingsNeeded[[#This Row],[Needed Per Second]], 2), "")</f>
        <v/>
      </c>
      <c r="P73" s="19">
        <f>IFERROR(IF(ThingsNeeded[[#This Row],[Used]], 0, ROUND(ThingsNeeded[[#This Row],[Created Per Second]] / ThingsNeeded[[#This Row],[Needed Per Second]] - 1, 2)), "")</f>
        <v>0</v>
      </c>
      <c r="Q73" s="17">
        <f>COUNTIF(ComponentRecipes2[Component], ThingsNeeded[[#This Row],[Component]])</f>
        <v>294</v>
      </c>
      <c r="R73" s="5" t="str">
        <f>IF(ThingsNeeded[[#This Row],[Component]] = "", "", COUNTIF(Recipes[Name], ThingsNeeded[[#This Row],[Component]]))</f>
        <v/>
      </c>
      <c r="S73" s="16" t="b">
        <v>1</v>
      </c>
      <c r="U73" s="6">
        <f t="shared" si="2"/>
        <v>5</v>
      </c>
      <c r="V73" s="51" t="str">
        <f>IFERROR(Recipes[[#This Row],[Selected Name]], "")</f>
        <v/>
      </c>
      <c r="W73" s="51" t="str">
        <f>IFERROR(Recipes[[#This Row],[Selected Component]], "")</f>
        <v/>
      </c>
      <c r="X73" s="52" t="str">
        <f>IFERROR(Recipes[[#This Row],[Selected Quantity]], "")</f>
        <v/>
      </c>
      <c r="Z73" s="53">
        <f t="shared" si="3"/>
        <v>6</v>
      </c>
      <c r="AA73" s="51" t="str">
        <f>IFERROR(Recipes2[[#This Row],[Selected Component]], "")</f>
        <v/>
      </c>
      <c r="AB73" s="51" t="str">
        <f>IFERROR(Recipes2[[#This Row],[Selected Name]], "")</f>
        <v/>
      </c>
      <c r="AC73" s="52" t="str">
        <f>IFERROR(Recipes2[[#This Row],[Selected Quantity]], "")</f>
        <v/>
      </c>
    </row>
    <row r="74" spans="7:29" x14ac:dyDescent="0.25">
      <c r="G74" s="3" t="str">
        <f>IFERROR(INDEX(Items[Name], Items[[#This Row],[Condensed]]), "")</f>
        <v/>
      </c>
      <c r="H74" s="7" t="str">
        <f>IFERROR(INDEX(Items[Producers For Selected Count], Items[[#This Row],[Condensed]]), "")</f>
        <v/>
      </c>
      <c r="I74" s="7" t="str">
        <f>IFERROR(INDEX(Items[Fractional Producers for Selected Count], Items[[#This Row],[Condensed]]), "")</f>
        <v/>
      </c>
      <c r="J74" s="5" t="str">
        <f>IFERROR(INDEX(Items[Base Cycle Time], MATCH(ThingsNeeded[[#This Row],[Component]], Items[Name], 0)), "")</f>
        <v/>
      </c>
      <c r="K74" s="5" t="str">
        <f>IFERROR(ROUND(1 / ThingsNeeded[[#This Row],[Produced Per Second]], 2), "")</f>
        <v/>
      </c>
      <c r="L74" s="5" t="str">
        <f>IFERROR(INDEX(Items[Per Second], MATCH(ThingsNeeded[[#This Row],[Component]], Items[Name], 0)), "")</f>
        <v/>
      </c>
      <c r="M74" s="4" t="str">
        <f>IFERROR(LEFT(INDEX(Items[Producer Type], Items[[#This Row],[Condensed]]), 1), "")</f>
        <v/>
      </c>
      <c r="N74" s="58" t="str">
        <f>IFERROR(CEILING(INDEX(Items[Selected Per Second], Items[[#This Row],[Condensed]]), 0.01), "")</f>
        <v/>
      </c>
      <c r="O74" s="5" t="str">
        <f>IFERROR(ROUND(ThingsNeeded[[#This Row],[Producers]] / ThingsNeeded[[#This Row],[Fractional Producers]] * ThingsNeeded[[#This Row],[Needed Per Second]], 2), "")</f>
        <v/>
      </c>
      <c r="P74" s="19">
        <f>IFERROR(IF(ThingsNeeded[[#This Row],[Used]], 0, ROUND(ThingsNeeded[[#This Row],[Created Per Second]] / ThingsNeeded[[#This Row],[Needed Per Second]] - 1, 2)), "")</f>
        <v>0</v>
      </c>
      <c r="Q74" s="17">
        <f>COUNTIF(ComponentRecipes2[Component], ThingsNeeded[[#This Row],[Component]])</f>
        <v>294</v>
      </c>
      <c r="R74" s="5" t="str">
        <f>IF(ThingsNeeded[[#This Row],[Component]] = "", "", COUNTIF(Recipes[Name], ThingsNeeded[[#This Row],[Component]]))</f>
        <v/>
      </c>
      <c r="S74" s="16" t="b">
        <v>1</v>
      </c>
      <c r="U74" s="6">
        <f t="shared" si="2"/>
        <v>5</v>
      </c>
      <c r="V74" s="51" t="str">
        <f>IFERROR(Recipes[[#This Row],[Selected Name]], "")</f>
        <v/>
      </c>
      <c r="W74" s="51" t="str">
        <f>IFERROR(Recipes[[#This Row],[Selected Component]], "")</f>
        <v/>
      </c>
      <c r="X74" s="52" t="str">
        <f>IFERROR(Recipes[[#This Row],[Selected Quantity]], "")</f>
        <v/>
      </c>
      <c r="Z74" s="53">
        <f t="shared" si="3"/>
        <v>6</v>
      </c>
      <c r="AA74" s="51" t="str">
        <f>IFERROR(Recipes2[[#This Row],[Selected Component]], "")</f>
        <v/>
      </c>
      <c r="AB74" s="51" t="str">
        <f>IFERROR(Recipes2[[#This Row],[Selected Name]], "")</f>
        <v/>
      </c>
      <c r="AC74" s="52" t="str">
        <f>IFERROR(Recipes2[[#This Row],[Selected Quantity]], "")</f>
        <v/>
      </c>
    </row>
    <row r="75" spans="7:29" x14ac:dyDescent="0.25">
      <c r="G75" s="3" t="str">
        <f>IFERROR(INDEX(Items[Name], Items[[#This Row],[Condensed]]), "")</f>
        <v/>
      </c>
      <c r="H75" s="7" t="str">
        <f>IFERROR(INDEX(Items[Producers For Selected Count], Items[[#This Row],[Condensed]]), "")</f>
        <v/>
      </c>
      <c r="I75" s="7" t="str">
        <f>IFERROR(INDEX(Items[Fractional Producers for Selected Count], Items[[#This Row],[Condensed]]), "")</f>
        <v/>
      </c>
      <c r="J75" s="5" t="str">
        <f>IFERROR(INDEX(Items[Base Cycle Time], MATCH(ThingsNeeded[[#This Row],[Component]], Items[Name], 0)), "")</f>
        <v/>
      </c>
      <c r="K75" s="5" t="str">
        <f>IFERROR(ROUND(1 / ThingsNeeded[[#This Row],[Produced Per Second]], 2), "")</f>
        <v/>
      </c>
      <c r="L75" s="5" t="str">
        <f>IFERROR(INDEX(Items[Per Second], MATCH(ThingsNeeded[[#This Row],[Component]], Items[Name], 0)), "")</f>
        <v/>
      </c>
      <c r="M75" s="4" t="str">
        <f>IFERROR(LEFT(INDEX(Items[Producer Type], Items[[#This Row],[Condensed]]), 1), "")</f>
        <v/>
      </c>
      <c r="N75" s="58" t="str">
        <f>IFERROR(CEILING(INDEX(Items[Selected Per Second], Items[[#This Row],[Condensed]]), 0.01), "")</f>
        <v/>
      </c>
      <c r="O75" s="5" t="str">
        <f>IFERROR(ROUND(ThingsNeeded[[#This Row],[Producers]] / ThingsNeeded[[#This Row],[Fractional Producers]] * ThingsNeeded[[#This Row],[Needed Per Second]], 2), "")</f>
        <v/>
      </c>
      <c r="P75" s="19">
        <f>IFERROR(IF(ThingsNeeded[[#This Row],[Used]], 0, ROUND(ThingsNeeded[[#This Row],[Created Per Second]] / ThingsNeeded[[#This Row],[Needed Per Second]] - 1, 2)), "")</f>
        <v>0</v>
      </c>
      <c r="Q75" s="17">
        <f>COUNTIF(ComponentRecipes2[Component], ThingsNeeded[[#This Row],[Component]])</f>
        <v>294</v>
      </c>
      <c r="R75" s="5" t="str">
        <f>IF(ThingsNeeded[[#This Row],[Component]] = "", "", COUNTIF(Recipes[Name], ThingsNeeded[[#This Row],[Component]]))</f>
        <v/>
      </c>
      <c r="S75" s="16" t="b">
        <v>1</v>
      </c>
      <c r="U75" s="6">
        <f t="shared" si="2"/>
        <v>5</v>
      </c>
      <c r="V75" s="51" t="str">
        <f>IFERROR(Recipes[[#This Row],[Selected Name]], "")</f>
        <v/>
      </c>
      <c r="W75" s="51" t="str">
        <f>IFERROR(Recipes[[#This Row],[Selected Component]], "")</f>
        <v/>
      </c>
      <c r="X75" s="52" t="str">
        <f>IFERROR(Recipes[[#This Row],[Selected Quantity]], "")</f>
        <v/>
      </c>
      <c r="Z75" s="53">
        <f t="shared" si="3"/>
        <v>6</v>
      </c>
      <c r="AA75" s="51" t="str">
        <f>IFERROR(Recipes2[[#This Row],[Selected Component]], "")</f>
        <v/>
      </c>
      <c r="AB75" s="51" t="str">
        <f>IFERROR(Recipes2[[#This Row],[Selected Name]], "")</f>
        <v/>
      </c>
      <c r="AC75" s="52" t="str">
        <f>IFERROR(Recipes2[[#This Row],[Selected Quantity]], "")</f>
        <v/>
      </c>
    </row>
    <row r="76" spans="7:29" x14ac:dyDescent="0.25">
      <c r="G76" s="3" t="str">
        <f>IFERROR(INDEX(Items[Name], Items[[#This Row],[Condensed]]), "")</f>
        <v/>
      </c>
      <c r="H76" s="7" t="str">
        <f>IFERROR(INDEX(Items[Producers For Selected Count], Items[[#This Row],[Condensed]]), "")</f>
        <v/>
      </c>
      <c r="I76" s="7" t="str">
        <f>IFERROR(INDEX(Items[Fractional Producers for Selected Count], Items[[#This Row],[Condensed]]), "")</f>
        <v/>
      </c>
      <c r="J76" s="5" t="str">
        <f>IFERROR(INDEX(Items[Base Cycle Time], MATCH(ThingsNeeded[[#This Row],[Component]], Items[Name], 0)), "")</f>
        <v/>
      </c>
      <c r="K76" s="5" t="str">
        <f>IFERROR(ROUND(1 / ThingsNeeded[[#This Row],[Produced Per Second]], 2), "")</f>
        <v/>
      </c>
      <c r="L76" s="5" t="str">
        <f>IFERROR(INDEX(Items[Per Second], MATCH(ThingsNeeded[[#This Row],[Component]], Items[Name], 0)), "")</f>
        <v/>
      </c>
      <c r="M76" s="4" t="str">
        <f>IFERROR(LEFT(INDEX(Items[Producer Type], Items[[#This Row],[Condensed]]), 1), "")</f>
        <v/>
      </c>
      <c r="N76" s="58" t="str">
        <f>IFERROR(CEILING(INDEX(Items[Selected Per Second], Items[[#This Row],[Condensed]]), 0.01), "")</f>
        <v/>
      </c>
      <c r="O76" s="5" t="str">
        <f>IFERROR(ROUND(ThingsNeeded[[#This Row],[Producers]] / ThingsNeeded[[#This Row],[Fractional Producers]] * ThingsNeeded[[#This Row],[Needed Per Second]], 2), "")</f>
        <v/>
      </c>
      <c r="P76" s="19">
        <f>IFERROR(IF(ThingsNeeded[[#This Row],[Used]], 0, ROUND(ThingsNeeded[[#This Row],[Created Per Second]] / ThingsNeeded[[#This Row],[Needed Per Second]] - 1, 2)), "")</f>
        <v>0</v>
      </c>
      <c r="Q76" s="17">
        <f>COUNTIF(ComponentRecipes2[Component], ThingsNeeded[[#This Row],[Component]])</f>
        <v>294</v>
      </c>
      <c r="R76" s="5" t="str">
        <f>IF(ThingsNeeded[[#This Row],[Component]] = "", "", COUNTIF(Recipes[Name], ThingsNeeded[[#This Row],[Component]]))</f>
        <v/>
      </c>
      <c r="S76" s="16" t="b">
        <v>1</v>
      </c>
      <c r="U76" s="6">
        <f t="shared" si="2"/>
        <v>5</v>
      </c>
      <c r="V76" s="51" t="str">
        <f>IFERROR(Recipes[[#This Row],[Selected Name]], "")</f>
        <v/>
      </c>
      <c r="W76" s="51" t="str">
        <f>IFERROR(Recipes[[#This Row],[Selected Component]], "")</f>
        <v/>
      </c>
      <c r="X76" s="52" t="str">
        <f>IFERROR(Recipes[[#This Row],[Selected Quantity]], "")</f>
        <v/>
      </c>
      <c r="Z76" s="53">
        <f t="shared" si="3"/>
        <v>6</v>
      </c>
      <c r="AA76" s="51" t="str">
        <f>IFERROR(Recipes2[[#This Row],[Selected Component]], "")</f>
        <v/>
      </c>
      <c r="AB76" s="51" t="str">
        <f>IFERROR(Recipes2[[#This Row],[Selected Name]], "")</f>
        <v/>
      </c>
      <c r="AC76" s="52" t="str">
        <f>IFERROR(Recipes2[[#This Row],[Selected Quantity]], "")</f>
        <v/>
      </c>
    </row>
    <row r="77" spans="7:29" x14ac:dyDescent="0.25">
      <c r="G77" s="3" t="str">
        <f>IFERROR(INDEX(Items[Name], Items[[#This Row],[Condensed]]), "")</f>
        <v/>
      </c>
      <c r="H77" s="7" t="str">
        <f>IFERROR(INDEX(Items[Producers For Selected Count], Items[[#This Row],[Condensed]]), "")</f>
        <v/>
      </c>
      <c r="I77" s="7" t="str">
        <f>IFERROR(INDEX(Items[Fractional Producers for Selected Count], Items[[#This Row],[Condensed]]), "")</f>
        <v/>
      </c>
      <c r="J77" s="5" t="str">
        <f>IFERROR(INDEX(Items[Base Cycle Time], MATCH(ThingsNeeded[[#This Row],[Component]], Items[Name], 0)), "")</f>
        <v/>
      </c>
      <c r="K77" s="5" t="str">
        <f>IFERROR(ROUND(1 / ThingsNeeded[[#This Row],[Produced Per Second]], 2), "")</f>
        <v/>
      </c>
      <c r="L77" s="5" t="str">
        <f>IFERROR(INDEX(Items[Per Second], MATCH(ThingsNeeded[[#This Row],[Component]], Items[Name], 0)), "")</f>
        <v/>
      </c>
      <c r="M77" s="4" t="str">
        <f>IFERROR(LEFT(INDEX(Items[Producer Type], Items[[#This Row],[Condensed]]), 1), "")</f>
        <v/>
      </c>
      <c r="N77" s="58" t="str">
        <f>IFERROR(CEILING(INDEX(Items[Selected Per Second], Items[[#This Row],[Condensed]]), 0.01), "")</f>
        <v/>
      </c>
      <c r="O77" s="5" t="str">
        <f>IFERROR(ROUND(ThingsNeeded[[#This Row],[Producers]] / ThingsNeeded[[#This Row],[Fractional Producers]] * ThingsNeeded[[#This Row],[Needed Per Second]], 2), "")</f>
        <v/>
      </c>
      <c r="P77" s="19">
        <f>IFERROR(IF(ThingsNeeded[[#This Row],[Used]], 0, ROUND(ThingsNeeded[[#This Row],[Created Per Second]] / ThingsNeeded[[#This Row],[Needed Per Second]] - 1, 2)), "")</f>
        <v>0</v>
      </c>
      <c r="Q77" s="17">
        <f>COUNTIF(ComponentRecipes2[Component], ThingsNeeded[[#This Row],[Component]])</f>
        <v>294</v>
      </c>
      <c r="R77" s="5" t="str">
        <f>IF(ThingsNeeded[[#This Row],[Component]] = "", "", COUNTIF(Recipes[Name], ThingsNeeded[[#This Row],[Component]]))</f>
        <v/>
      </c>
      <c r="S77" s="16" t="b">
        <v>1</v>
      </c>
      <c r="U77" s="6">
        <f t="shared" si="2"/>
        <v>5</v>
      </c>
      <c r="V77" s="51" t="str">
        <f>IFERROR(Recipes[[#This Row],[Selected Name]], "")</f>
        <v/>
      </c>
      <c r="W77" s="51" t="str">
        <f>IFERROR(Recipes[[#This Row],[Selected Component]], "")</f>
        <v/>
      </c>
      <c r="X77" s="52" t="str">
        <f>IFERROR(Recipes[[#This Row],[Selected Quantity]], "")</f>
        <v/>
      </c>
      <c r="Z77" s="53">
        <f t="shared" si="3"/>
        <v>6</v>
      </c>
      <c r="AA77" s="51" t="str">
        <f>IFERROR(Recipes2[[#This Row],[Selected Component]], "")</f>
        <v/>
      </c>
      <c r="AB77" s="51" t="str">
        <f>IFERROR(Recipes2[[#This Row],[Selected Name]], "")</f>
        <v/>
      </c>
      <c r="AC77" s="52" t="str">
        <f>IFERROR(Recipes2[[#This Row],[Selected Quantity]], "")</f>
        <v/>
      </c>
    </row>
    <row r="78" spans="7:29" x14ac:dyDescent="0.25">
      <c r="G78" s="3" t="str">
        <f>IFERROR(INDEX(Items[Name], Items[[#This Row],[Condensed]]), "")</f>
        <v/>
      </c>
      <c r="H78" s="7" t="str">
        <f>IFERROR(INDEX(Items[Producers For Selected Count], Items[[#This Row],[Condensed]]), "")</f>
        <v/>
      </c>
      <c r="I78" s="7" t="str">
        <f>IFERROR(INDEX(Items[Fractional Producers for Selected Count], Items[[#This Row],[Condensed]]), "")</f>
        <v/>
      </c>
      <c r="J78" s="5" t="str">
        <f>IFERROR(INDEX(Items[Base Cycle Time], MATCH(ThingsNeeded[[#This Row],[Component]], Items[Name], 0)), "")</f>
        <v/>
      </c>
      <c r="K78" s="5" t="str">
        <f>IFERROR(ROUND(1 / ThingsNeeded[[#This Row],[Produced Per Second]], 2), "")</f>
        <v/>
      </c>
      <c r="L78" s="5" t="str">
        <f>IFERROR(INDEX(Items[Per Second], MATCH(ThingsNeeded[[#This Row],[Component]], Items[Name], 0)), "")</f>
        <v/>
      </c>
      <c r="M78" s="4" t="str">
        <f>IFERROR(LEFT(INDEX(Items[Producer Type], Items[[#This Row],[Condensed]]), 1), "")</f>
        <v/>
      </c>
      <c r="N78" s="58" t="str">
        <f>IFERROR(CEILING(INDEX(Items[Selected Per Second], Items[[#This Row],[Condensed]]), 0.01), "")</f>
        <v/>
      </c>
      <c r="O78" s="5" t="str">
        <f>IFERROR(ROUND(ThingsNeeded[[#This Row],[Producers]] / ThingsNeeded[[#This Row],[Fractional Producers]] * ThingsNeeded[[#This Row],[Needed Per Second]], 2), "")</f>
        <v/>
      </c>
      <c r="P78" s="19">
        <f>IFERROR(IF(ThingsNeeded[[#This Row],[Used]], 0, ROUND(ThingsNeeded[[#This Row],[Created Per Second]] / ThingsNeeded[[#This Row],[Needed Per Second]] - 1, 2)), "")</f>
        <v>0</v>
      </c>
      <c r="Q78" s="17">
        <f>COUNTIF(ComponentRecipes2[Component], ThingsNeeded[[#This Row],[Component]])</f>
        <v>294</v>
      </c>
      <c r="R78" s="5" t="str">
        <f>IF(ThingsNeeded[[#This Row],[Component]] = "", "", COUNTIF(Recipes[Name], ThingsNeeded[[#This Row],[Component]]))</f>
        <v/>
      </c>
      <c r="S78" s="16" t="b">
        <v>1</v>
      </c>
      <c r="U78" s="6">
        <f t="shared" si="2"/>
        <v>5</v>
      </c>
      <c r="V78" s="51" t="str">
        <f>IFERROR(Recipes[[#This Row],[Selected Name]], "")</f>
        <v/>
      </c>
      <c r="W78" s="51" t="str">
        <f>IFERROR(Recipes[[#This Row],[Selected Component]], "")</f>
        <v/>
      </c>
      <c r="X78" s="52" t="str">
        <f>IFERROR(Recipes[[#This Row],[Selected Quantity]], "")</f>
        <v/>
      </c>
      <c r="Z78" s="53">
        <f t="shared" si="3"/>
        <v>6</v>
      </c>
      <c r="AA78" s="51" t="str">
        <f>IFERROR(Recipes2[[#This Row],[Selected Component]], "")</f>
        <v/>
      </c>
      <c r="AB78" s="51" t="str">
        <f>IFERROR(Recipes2[[#This Row],[Selected Name]], "")</f>
        <v/>
      </c>
      <c r="AC78" s="52" t="str">
        <f>IFERROR(Recipes2[[#This Row],[Selected Quantity]], "")</f>
        <v/>
      </c>
    </row>
    <row r="79" spans="7:29" x14ac:dyDescent="0.25">
      <c r="G79" s="3" t="str">
        <f>IFERROR(INDEX(Items[Name], Items[[#This Row],[Condensed]]), "")</f>
        <v/>
      </c>
      <c r="H79" s="7" t="str">
        <f>IFERROR(INDEX(Items[Producers For Selected Count], Items[[#This Row],[Condensed]]), "")</f>
        <v/>
      </c>
      <c r="I79" s="7" t="str">
        <f>IFERROR(INDEX(Items[Fractional Producers for Selected Count], Items[[#This Row],[Condensed]]), "")</f>
        <v/>
      </c>
      <c r="J79" s="5" t="str">
        <f>IFERROR(INDEX(Items[Base Cycle Time], MATCH(ThingsNeeded[[#This Row],[Component]], Items[Name], 0)), "")</f>
        <v/>
      </c>
      <c r="K79" s="5" t="str">
        <f>IFERROR(ROUND(1 / ThingsNeeded[[#This Row],[Produced Per Second]], 2), "")</f>
        <v/>
      </c>
      <c r="L79" s="5" t="str">
        <f>IFERROR(INDEX(Items[Per Second], MATCH(ThingsNeeded[[#This Row],[Component]], Items[Name], 0)), "")</f>
        <v/>
      </c>
      <c r="M79" s="4" t="str">
        <f>IFERROR(LEFT(INDEX(Items[Producer Type], Items[[#This Row],[Condensed]]), 1), "")</f>
        <v/>
      </c>
      <c r="N79" s="58" t="str">
        <f>IFERROR(CEILING(INDEX(Items[Selected Per Second], Items[[#This Row],[Condensed]]), 0.01), "")</f>
        <v/>
      </c>
      <c r="O79" s="5" t="str">
        <f>IFERROR(ROUND(ThingsNeeded[[#This Row],[Producers]] / ThingsNeeded[[#This Row],[Fractional Producers]] * ThingsNeeded[[#This Row],[Needed Per Second]], 2), "")</f>
        <v/>
      </c>
      <c r="P79" s="19">
        <f>IFERROR(IF(ThingsNeeded[[#This Row],[Used]], 0, ROUND(ThingsNeeded[[#This Row],[Created Per Second]] / ThingsNeeded[[#This Row],[Needed Per Second]] - 1, 2)), "")</f>
        <v>0</v>
      </c>
      <c r="Q79" s="17">
        <f>COUNTIF(ComponentRecipes2[Component], ThingsNeeded[[#This Row],[Component]])</f>
        <v>294</v>
      </c>
      <c r="R79" s="5" t="str">
        <f>IF(ThingsNeeded[[#This Row],[Component]] = "", "", COUNTIF(Recipes[Name], ThingsNeeded[[#This Row],[Component]]))</f>
        <v/>
      </c>
      <c r="S79" s="16" t="b">
        <v>1</v>
      </c>
      <c r="U79" s="6">
        <f t="shared" si="2"/>
        <v>5</v>
      </c>
      <c r="V79" s="51" t="str">
        <f>IFERROR(Recipes[[#This Row],[Selected Name]], "")</f>
        <v/>
      </c>
      <c r="W79" s="51" t="str">
        <f>IFERROR(Recipes[[#This Row],[Selected Component]], "")</f>
        <v/>
      </c>
      <c r="X79" s="52" t="str">
        <f>IFERROR(Recipes[[#This Row],[Selected Quantity]], "")</f>
        <v/>
      </c>
      <c r="Z79" s="53">
        <f t="shared" si="3"/>
        <v>6</v>
      </c>
      <c r="AA79" s="51" t="str">
        <f>IFERROR(Recipes2[[#This Row],[Selected Component]], "")</f>
        <v/>
      </c>
      <c r="AB79" s="51" t="str">
        <f>IFERROR(Recipes2[[#This Row],[Selected Name]], "")</f>
        <v/>
      </c>
      <c r="AC79" s="52" t="str">
        <f>IFERROR(Recipes2[[#This Row],[Selected Quantity]], "")</f>
        <v/>
      </c>
    </row>
    <row r="80" spans="7:29" x14ac:dyDescent="0.25">
      <c r="G80" s="3" t="str">
        <f>IFERROR(INDEX(Items[Name], Items[[#This Row],[Condensed]]), "")</f>
        <v/>
      </c>
      <c r="H80" s="7" t="str">
        <f>IFERROR(INDEX(Items[Producers For Selected Count], Items[[#This Row],[Condensed]]), "")</f>
        <v/>
      </c>
      <c r="I80" s="7" t="str">
        <f>IFERROR(INDEX(Items[Fractional Producers for Selected Count], Items[[#This Row],[Condensed]]), "")</f>
        <v/>
      </c>
      <c r="J80" s="5" t="str">
        <f>IFERROR(INDEX(Items[Base Cycle Time], MATCH(ThingsNeeded[[#This Row],[Component]], Items[Name], 0)), "")</f>
        <v/>
      </c>
      <c r="K80" s="5" t="str">
        <f>IFERROR(ROUND(1 / ThingsNeeded[[#This Row],[Produced Per Second]], 2), "")</f>
        <v/>
      </c>
      <c r="L80" s="5" t="str">
        <f>IFERROR(INDEX(Items[Per Second], MATCH(ThingsNeeded[[#This Row],[Component]], Items[Name], 0)), "")</f>
        <v/>
      </c>
      <c r="M80" s="4" t="str">
        <f>IFERROR(LEFT(INDEX(Items[Producer Type], Items[[#This Row],[Condensed]]), 1), "")</f>
        <v/>
      </c>
      <c r="N80" s="58" t="str">
        <f>IFERROR(CEILING(INDEX(Items[Selected Per Second], Items[[#This Row],[Condensed]]), 0.01), "")</f>
        <v/>
      </c>
      <c r="O80" s="5" t="str">
        <f>IFERROR(ROUND(ThingsNeeded[[#This Row],[Producers]] / ThingsNeeded[[#This Row],[Fractional Producers]] * ThingsNeeded[[#This Row],[Needed Per Second]], 2), "")</f>
        <v/>
      </c>
      <c r="P80" s="19">
        <f>IFERROR(IF(ThingsNeeded[[#This Row],[Used]], 0, ROUND(ThingsNeeded[[#This Row],[Created Per Second]] / ThingsNeeded[[#This Row],[Needed Per Second]] - 1, 2)), "")</f>
        <v>0</v>
      </c>
      <c r="Q80" s="17">
        <f>COUNTIF(ComponentRecipes2[Component], ThingsNeeded[[#This Row],[Component]])</f>
        <v>294</v>
      </c>
      <c r="R80" s="5" t="str">
        <f>IF(ThingsNeeded[[#This Row],[Component]] = "", "", COUNTIF(Recipes[Name], ThingsNeeded[[#This Row],[Component]]))</f>
        <v/>
      </c>
      <c r="S80" s="16" t="b">
        <v>1</v>
      </c>
      <c r="U80" s="6">
        <f t="shared" si="2"/>
        <v>5</v>
      </c>
      <c r="V80" s="51" t="str">
        <f>IFERROR(Recipes[[#This Row],[Selected Name]], "")</f>
        <v/>
      </c>
      <c r="W80" s="51" t="str">
        <f>IFERROR(Recipes[[#This Row],[Selected Component]], "")</f>
        <v/>
      </c>
      <c r="X80" s="52" t="str">
        <f>IFERROR(Recipes[[#This Row],[Selected Quantity]], "")</f>
        <v/>
      </c>
      <c r="Z80" s="53">
        <f t="shared" si="3"/>
        <v>6</v>
      </c>
      <c r="AA80" s="51" t="str">
        <f>IFERROR(Recipes2[[#This Row],[Selected Component]], "")</f>
        <v/>
      </c>
      <c r="AB80" s="51" t="str">
        <f>IFERROR(Recipes2[[#This Row],[Selected Name]], "")</f>
        <v/>
      </c>
      <c r="AC80" s="52" t="str">
        <f>IFERROR(Recipes2[[#This Row],[Selected Quantity]], "")</f>
        <v/>
      </c>
    </row>
    <row r="81" spans="7:29" x14ac:dyDescent="0.25">
      <c r="G81" s="3" t="str">
        <f>IFERROR(INDEX(Items[Name], Items[[#This Row],[Condensed]]), "")</f>
        <v/>
      </c>
      <c r="H81" s="7" t="str">
        <f>IFERROR(INDEX(Items[Producers For Selected Count], Items[[#This Row],[Condensed]]), "")</f>
        <v/>
      </c>
      <c r="I81" s="7" t="str">
        <f>IFERROR(INDEX(Items[Fractional Producers for Selected Count], Items[[#This Row],[Condensed]]), "")</f>
        <v/>
      </c>
      <c r="J81" s="5" t="str">
        <f>IFERROR(INDEX(Items[Base Cycle Time], MATCH(ThingsNeeded[[#This Row],[Component]], Items[Name], 0)), "")</f>
        <v/>
      </c>
      <c r="K81" s="5" t="str">
        <f>IFERROR(ROUND(1 / ThingsNeeded[[#This Row],[Produced Per Second]], 2), "")</f>
        <v/>
      </c>
      <c r="L81" s="5" t="str">
        <f>IFERROR(INDEX(Items[Per Second], MATCH(ThingsNeeded[[#This Row],[Component]], Items[Name], 0)), "")</f>
        <v/>
      </c>
      <c r="M81" s="4" t="str">
        <f>IFERROR(LEFT(INDEX(Items[Producer Type], Items[[#This Row],[Condensed]]), 1), "")</f>
        <v/>
      </c>
      <c r="N81" s="58" t="str">
        <f>IFERROR(CEILING(INDEX(Items[Selected Per Second], Items[[#This Row],[Condensed]]), 0.01), "")</f>
        <v/>
      </c>
      <c r="O81" s="5" t="str">
        <f>IFERROR(ROUND(ThingsNeeded[[#This Row],[Producers]] / ThingsNeeded[[#This Row],[Fractional Producers]] * ThingsNeeded[[#This Row],[Needed Per Second]], 2), "")</f>
        <v/>
      </c>
      <c r="P81" s="19">
        <f>IFERROR(IF(ThingsNeeded[[#This Row],[Used]], 0, ROUND(ThingsNeeded[[#This Row],[Created Per Second]] / ThingsNeeded[[#This Row],[Needed Per Second]] - 1, 2)), "")</f>
        <v>0</v>
      </c>
      <c r="Q81" s="17">
        <f>COUNTIF(ComponentRecipes2[Component], ThingsNeeded[[#This Row],[Component]])</f>
        <v>294</v>
      </c>
      <c r="R81" s="5" t="str">
        <f>IF(ThingsNeeded[[#This Row],[Component]] = "", "", COUNTIF(Recipes[Name], ThingsNeeded[[#This Row],[Component]]))</f>
        <v/>
      </c>
      <c r="S81" s="16" t="b">
        <v>1</v>
      </c>
      <c r="U81" s="6">
        <f t="shared" si="2"/>
        <v>5</v>
      </c>
      <c r="V81" s="51" t="str">
        <f>IFERROR(Recipes[[#This Row],[Selected Name]], "")</f>
        <v/>
      </c>
      <c r="W81" s="51" t="str">
        <f>IFERROR(Recipes[[#This Row],[Selected Component]], "")</f>
        <v/>
      </c>
      <c r="X81" s="52" t="str">
        <f>IFERROR(Recipes[[#This Row],[Selected Quantity]], "")</f>
        <v/>
      </c>
      <c r="Z81" s="53">
        <f t="shared" si="3"/>
        <v>6</v>
      </c>
      <c r="AA81" s="51" t="str">
        <f>IFERROR(Recipes2[[#This Row],[Selected Component]], "")</f>
        <v/>
      </c>
      <c r="AB81" s="51" t="str">
        <f>IFERROR(Recipes2[[#This Row],[Selected Name]], "")</f>
        <v/>
      </c>
      <c r="AC81" s="52" t="str">
        <f>IFERROR(Recipes2[[#This Row],[Selected Quantity]], "")</f>
        <v/>
      </c>
    </row>
    <row r="82" spans="7:29" x14ac:dyDescent="0.25">
      <c r="G82" s="3" t="str">
        <f>IFERROR(INDEX(Items[Name], Items[[#This Row],[Condensed]]), "")</f>
        <v/>
      </c>
      <c r="H82" s="7" t="str">
        <f>IFERROR(INDEX(Items[Producers For Selected Count], Items[[#This Row],[Condensed]]), "")</f>
        <v/>
      </c>
      <c r="I82" s="7" t="str">
        <f>IFERROR(INDEX(Items[Fractional Producers for Selected Count], Items[[#This Row],[Condensed]]), "")</f>
        <v/>
      </c>
      <c r="J82" s="5" t="str">
        <f>IFERROR(INDEX(Items[Base Cycle Time], MATCH(ThingsNeeded[[#This Row],[Component]], Items[Name], 0)), "")</f>
        <v/>
      </c>
      <c r="K82" s="5" t="str">
        <f>IFERROR(ROUND(1 / ThingsNeeded[[#This Row],[Produced Per Second]], 2), "")</f>
        <v/>
      </c>
      <c r="L82" s="5" t="str">
        <f>IFERROR(INDEX(Items[Per Second], MATCH(ThingsNeeded[[#This Row],[Component]], Items[Name], 0)), "")</f>
        <v/>
      </c>
      <c r="M82" s="4" t="str">
        <f>IFERROR(LEFT(INDEX(Items[Producer Type], Items[[#This Row],[Condensed]]), 1), "")</f>
        <v/>
      </c>
      <c r="N82" s="58" t="str">
        <f>IFERROR(CEILING(INDEX(Items[Selected Per Second], Items[[#This Row],[Condensed]]), 0.01), "")</f>
        <v/>
      </c>
      <c r="O82" s="5" t="str">
        <f>IFERROR(ROUND(ThingsNeeded[[#This Row],[Producers]] / ThingsNeeded[[#This Row],[Fractional Producers]] * ThingsNeeded[[#This Row],[Needed Per Second]], 2), "")</f>
        <v/>
      </c>
      <c r="P82" s="19">
        <f>IFERROR(IF(ThingsNeeded[[#This Row],[Used]], 0, ROUND(ThingsNeeded[[#This Row],[Created Per Second]] / ThingsNeeded[[#This Row],[Needed Per Second]] - 1, 2)), "")</f>
        <v>0</v>
      </c>
      <c r="Q82" s="17">
        <f>COUNTIF(ComponentRecipes2[Component], ThingsNeeded[[#This Row],[Component]])</f>
        <v>294</v>
      </c>
      <c r="R82" s="5" t="str">
        <f>IF(ThingsNeeded[[#This Row],[Component]] = "", "", COUNTIF(Recipes[Name], ThingsNeeded[[#This Row],[Component]]))</f>
        <v/>
      </c>
      <c r="S82" s="16" t="b">
        <v>1</v>
      </c>
      <c r="U82" s="6">
        <f t="shared" si="2"/>
        <v>5</v>
      </c>
      <c r="V82" s="51" t="str">
        <f>IFERROR(Recipes[[#This Row],[Selected Name]], "")</f>
        <v/>
      </c>
      <c r="W82" s="51" t="str">
        <f>IFERROR(Recipes[[#This Row],[Selected Component]], "")</f>
        <v/>
      </c>
      <c r="X82" s="52" t="str">
        <f>IFERROR(Recipes[[#This Row],[Selected Quantity]], "")</f>
        <v/>
      </c>
      <c r="Z82" s="53">
        <f t="shared" si="3"/>
        <v>6</v>
      </c>
      <c r="AA82" s="51" t="str">
        <f>IFERROR(Recipes2[[#This Row],[Selected Component]], "")</f>
        <v/>
      </c>
      <c r="AB82" s="51" t="str">
        <f>IFERROR(Recipes2[[#This Row],[Selected Name]], "")</f>
        <v/>
      </c>
      <c r="AC82" s="52" t="str">
        <f>IFERROR(Recipes2[[#This Row],[Selected Quantity]], "")</f>
        <v/>
      </c>
    </row>
    <row r="83" spans="7:29" x14ac:dyDescent="0.25">
      <c r="G83" s="3" t="str">
        <f>IFERROR(INDEX(Items[Name], Items[[#This Row],[Condensed]]), "")</f>
        <v/>
      </c>
      <c r="H83" s="7" t="str">
        <f>IFERROR(INDEX(Items[Producers For Selected Count], Items[[#This Row],[Condensed]]), "")</f>
        <v/>
      </c>
      <c r="I83" s="7" t="str">
        <f>IFERROR(INDEX(Items[Fractional Producers for Selected Count], Items[[#This Row],[Condensed]]), "")</f>
        <v/>
      </c>
      <c r="J83" s="5" t="str">
        <f>IFERROR(INDEX(Items[Base Cycle Time], MATCH(ThingsNeeded[[#This Row],[Component]], Items[Name], 0)), "")</f>
        <v/>
      </c>
      <c r="K83" s="5" t="str">
        <f>IFERROR(ROUND(1 / ThingsNeeded[[#This Row],[Produced Per Second]], 2), "")</f>
        <v/>
      </c>
      <c r="L83" s="5" t="str">
        <f>IFERROR(INDEX(Items[Per Second], MATCH(ThingsNeeded[[#This Row],[Component]], Items[Name], 0)), "")</f>
        <v/>
      </c>
      <c r="M83" s="4" t="str">
        <f>IFERROR(LEFT(INDEX(Items[Producer Type], Items[[#This Row],[Condensed]]), 1), "")</f>
        <v/>
      </c>
      <c r="N83" s="58" t="str">
        <f>IFERROR(CEILING(INDEX(Items[Selected Per Second], Items[[#This Row],[Condensed]]), 0.01), "")</f>
        <v/>
      </c>
      <c r="O83" s="5" t="str">
        <f>IFERROR(ROUND(ThingsNeeded[[#This Row],[Producers]] / ThingsNeeded[[#This Row],[Fractional Producers]] * ThingsNeeded[[#This Row],[Needed Per Second]], 2), "")</f>
        <v/>
      </c>
      <c r="P83" s="19">
        <f>IFERROR(IF(ThingsNeeded[[#This Row],[Used]], 0, ROUND(ThingsNeeded[[#This Row],[Created Per Second]] / ThingsNeeded[[#This Row],[Needed Per Second]] - 1, 2)), "")</f>
        <v>0</v>
      </c>
      <c r="Q83" s="17">
        <f>COUNTIF(ComponentRecipes2[Component], ThingsNeeded[[#This Row],[Component]])</f>
        <v>294</v>
      </c>
      <c r="R83" s="5" t="str">
        <f>IF(ThingsNeeded[[#This Row],[Component]] = "", "", COUNTIF(Recipes[Name], ThingsNeeded[[#This Row],[Component]]))</f>
        <v/>
      </c>
      <c r="S83" s="16" t="b">
        <v>1</v>
      </c>
      <c r="U83" s="6">
        <f t="shared" si="2"/>
        <v>5</v>
      </c>
      <c r="V83" s="51" t="str">
        <f>IFERROR(Recipes[[#This Row],[Selected Name]], "")</f>
        <v/>
      </c>
      <c r="W83" s="51" t="str">
        <f>IFERROR(Recipes[[#This Row],[Selected Component]], "")</f>
        <v/>
      </c>
      <c r="X83" s="52" t="str">
        <f>IFERROR(Recipes[[#This Row],[Selected Quantity]], "")</f>
        <v/>
      </c>
      <c r="Z83" s="53">
        <f t="shared" si="3"/>
        <v>6</v>
      </c>
      <c r="AA83" s="51" t="str">
        <f>IFERROR(Recipes2[[#This Row],[Selected Component]], "")</f>
        <v/>
      </c>
      <c r="AB83" s="51" t="str">
        <f>IFERROR(Recipes2[[#This Row],[Selected Name]], "")</f>
        <v/>
      </c>
      <c r="AC83" s="52" t="str">
        <f>IFERROR(Recipes2[[#This Row],[Selected Quantity]], "")</f>
        <v/>
      </c>
    </row>
    <row r="84" spans="7:29" x14ac:dyDescent="0.25">
      <c r="G84" s="3" t="str">
        <f>IFERROR(INDEX(Items[Name], Items[[#This Row],[Condensed]]), "")</f>
        <v/>
      </c>
      <c r="H84" s="7" t="str">
        <f>IFERROR(INDEX(Items[Producers For Selected Count], Items[[#This Row],[Condensed]]), "")</f>
        <v/>
      </c>
      <c r="I84" s="7" t="str">
        <f>IFERROR(INDEX(Items[Fractional Producers for Selected Count], Items[[#This Row],[Condensed]]), "")</f>
        <v/>
      </c>
      <c r="J84" s="5" t="str">
        <f>IFERROR(INDEX(Items[Base Cycle Time], MATCH(ThingsNeeded[[#This Row],[Component]], Items[Name], 0)), "")</f>
        <v/>
      </c>
      <c r="K84" s="5" t="str">
        <f>IFERROR(ROUND(1 / ThingsNeeded[[#This Row],[Produced Per Second]], 2), "")</f>
        <v/>
      </c>
      <c r="L84" s="5" t="str">
        <f>IFERROR(INDEX(Items[Per Second], MATCH(ThingsNeeded[[#This Row],[Component]], Items[Name], 0)), "")</f>
        <v/>
      </c>
      <c r="M84" s="4" t="str">
        <f>IFERROR(LEFT(INDEX(Items[Producer Type], Items[[#This Row],[Condensed]]), 1), "")</f>
        <v/>
      </c>
      <c r="N84" s="58" t="str">
        <f>IFERROR(CEILING(INDEX(Items[Selected Per Second], Items[[#This Row],[Condensed]]), 0.01), "")</f>
        <v/>
      </c>
      <c r="O84" s="5" t="str">
        <f>IFERROR(ROUND(ThingsNeeded[[#This Row],[Producers]] / ThingsNeeded[[#This Row],[Fractional Producers]] * ThingsNeeded[[#This Row],[Needed Per Second]], 2), "")</f>
        <v/>
      </c>
      <c r="P84" s="19">
        <f>IFERROR(IF(ThingsNeeded[[#This Row],[Used]], 0, ROUND(ThingsNeeded[[#This Row],[Created Per Second]] / ThingsNeeded[[#This Row],[Needed Per Second]] - 1, 2)), "")</f>
        <v>0</v>
      </c>
      <c r="Q84" s="17">
        <f>COUNTIF(ComponentRecipes2[Component], ThingsNeeded[[#This Row],[Component]])</f>
        <v>294</v>
      </c>
      <c r="R84" s="5" t="str">
        <f>IF(ThingsNeeded[[#This Row],[Component]] = "", "", COUNTIF(Recipes[Name], ThingsNeeded[[#This Row],[Component]]))</f>
        <v/>
      </c>
      <c r="S84" s="16" t="b">
        <v>1</v>
      </c>
      <c r="U84" s="6">
        <f t="shared" si="2"/>
        <v>5</v>
      </c>
      <c r="V84" s="51" t="str">
        <f>IFERROR(Recipes[[#This Row],[Selected Name]], "")</f>
        <v/>
      </c>
      <c r="W84" s="51" t="str">
        <f>IFERROR(Recipes[[#This Row],[Selected Component]], "")</f>
        <v/>
      </c>
      <c r="X84" s="52" t="str">
        <f>IFERROR(Recipes[[#This Row],[Selected Quantity]], "")</f>
        <v/>
      </c>
      <c r="Z84" s="53">
        <f t="shared" si="3"/>
        <v>6</v>
      </c>
      <c r="AA84" s="51" t="str">
        <f>IFERROR(Recipes2[[#This Row],[Selected Component]], "")</f>
        <v/>
      </c>
      <c r="AB84" s="51" t="str">
        <f>IFERROR(Recipes2[[#This Row],[Selected Name]], "")</f>
        <v/>
      </c>
      <c r="AC84" s="52" t="str">
        <f>IFERROR(Recipes2[[#This Row],[Selected Quantity]], "")</f>
        <v/>
      </c>
    </row>
    <row r="85" spans="7:29" x14ac:dyDescent="0.25">
      <c r="G85" s="3" t="str">
        <f>IFERROR(INDEX(Items[Name], Items[[#This Row],[Condensed]]), "")</f>
        <v/>
      </c>
      <c r="H85" s="7" t="str">
        <f>IFERROR(INDEX(Items[Producers For Selected Count], Items[[#This Row],[Condensed]]), "")</f>
        <v/>
      </c>
      <c r="I85" s="7" t="str">
        <f>IFERROR(INDEX(Items[Fractional Producers for Selected Count], Items[[#This Row],[Condensed]]), "")</f>
        <v/>
      </c>
      <c r="J85" s="5" t="str">
        <f>IFERROR(INDEX(Items[Base Cycle Time], MATCH(ThingsNeeded[[#This Row],[Component]], Items[Name], 0)), "")</f>
        <v/>
      </c>
      <c r="K85" s="5" t="str">
        <f>IFERROR(ROUND(1 / ThingsNeeded[[#This Row],[Produced Per Second]], 2), "")</f>
        <v/>
      </c>
      <c r="L85" s="5" t="str">
        <f>IFERROR(INDEX(Items[Per Second], MATCH(ThingsNeeded[[#This Row],[Component]], Items[Name], 0)), "")</f>
        <v/>
      </c>
      <c r="M85" s="4" t="str">
        <f>IFERROR(LEFT(INDEX(Items[Producer Type], Items[[#This Row],[Condensed]]), 1), "")</f>
        <v/>
      </c>
      <c r="N85" s="58" t="str">
        <f>IFERROR(CEILING(INDEX(Items[Selected Per Second], Items[[#This Row],[Condensed]]), 0.01), "")</f>
        <v/>
      </c>
      <c r="O85" s="5" t="str">
        <f>IFERROR(ROUND(ThingsNeeded[[#This Row],[Producers]] / ThingsNeeded[[#This Row],[Fractional Producers]] * ThingsNeeded[[#This Row],[Needed Per Second]], 2), "")</f>
        <v/>
      </c>
      <c r="P85" s="19">
        <f>IFERROR(IF(ThingsNeeded[[#This Row],[Used]], 0, ROUND(ThingsNeeded[[#This Row],[Created Per Second]] / ThingsNeeded[[#This Row],[Needed Per Second]] - 1, 2)), "")</f>
        <v>0</v>
      </c>
      <c r="Q85" s="17">
        <f>COUNTIF(ComponentRecipes2[Component], ThingsNeeded[[#This Row],[Component]])</f>
        <v>294</v>
      </c>
      <c r="R85" s="5" t="str">
        <f>IF(ThingsNeeded[[#This Row],[Component]] = "", "", COUNTIF(Recipes[Name], ThingsNeeded[[#This Row],[Component]]))</f>
        <v/>
      </c>
      <c r="S85" s="16" t="b">
        <v>1</v>
      </c>
      <c r="U85" s="6">
        <f t="shared" si="2"/>
        <v>5</v>
      </c>
      <c r="V85" s="51" t="str">
        <f>IFERROR(Recipes[[#This Row],[Selected Name]], "")</f>
        <v/>
      </c>
      <c r="W85" s="51" t="str">
        <f>IFERROR(Recipes[[#This Row],[Selected Component]], "")</f>
        <v/>
      </c>
      <c r="X85" s="52" t="str">
        <f>IFERROR(Recipes[[#This Row],[Selected Quantity]], "")</f>
        <v/>
      </c>
      <c r="Z85" s="53">
        <f t="shared" si="3"/>
        <v>6</v>
      </c>
      <c r="AA85" s="51" t="str">
        <f>IFERROR(Recipes2[[#This Row],[Selected Component]], "")</f>
        <v/>
      </c>
      <c r="AB85" s="51" t="str">
        <f>IFERROR(Recipes2[[#This Row],[Selected Name]], "")</f>
        <v/>
      </c>
      <c r="AC85" s="52" t="str">
        <f>IFERROR(Recipes2[[#This Row],[Selected Quantity]], "")</f>
        <v/>
      </c>
    </row>
    <row r="86" spans="7:29" x14ac:dyDescent="0.25">
      <c r="G86" s="3" t="str">
        <f>IFERROR(INDEX(Items[Name], Items[[#This Row],[Condensed]]), "")</f>
        <v/>
      </c>
      <c r="H86" s="7" t="str">
        <f>IFERROR(INDEX(Items[Producers For Selected Count], Items[[#This Row],[Condensed]]), "")</f>
        <v/>
      </c>
      <c r="I86" s="7" t="str">
        <f>IFERROR(INDEX(Items[Fractional Producers for Selected Count], Items[[#This Row],[Condensed]]), "")</f>
        <v/>
      </c>
      <c r="J86" s="5" t="str">
        <f>IFERROR(INDEX(Items[Base Cycle Time], MATCH(ThingsNeeded[[#This Row],[Component]], Items[Name], 0)), "")</f>
        <v/>
      </c>
      <c r="K86" s="5" t="str">
        <f>IFERROR(ROUND(1 / ThingsNeeded[[#This Row],[Produced Per Second]], 2), "")</f>
        <v/>
      </c>
      <c r="L86" s="5" t="str">
        <f>IFERROR(INDEX(Items[Per Second], MATCH(ThingsNeeded[[#This Row],[Component]], Items[Name], 0)), "")</f>
        <v/>
      </c>
      <c r="M86" s="4" t="str">
        <f>IFERROR(LEFT(INDEX(Items[Producer Type], Items[[#This Row],[Condensed]]), 1), "")</f>
        <v/>
      </c>
      <c r="N86" s="58" t="str">
        <f>IFERROR(CEILING(INDEX(Items[Selected Per Second], Items[[#This Row],[Condensed]]), 0.01), "")</f>
        <v/>
      </c>
      <c r="O86" s="5" t="str">
        <f>IFERROR(ROUND(ThingsNeeded[[#This Row],[Producers]] / ThingsNeeded[[#This Row],[Fractional Producers]] * ThingsNeeded[[#This Row],[Needed Per Second]], 2), "")</f>
        <v/>
      </c>
      <c r="P86" s="19">
        <f>IFERROR(IF(ThingsNeeded[[#This Row],[Used]], 0, ROUND(ThingsNeeded[[#This Row],[Created Per Second]] / ThingsNeeded[[#This Row],[Needed Per Second]] - 1, 2)), "")</f>
        <v>0</v>
      </c>
      <c r="Q86" s="17">
        <f>COUNTIF(ComponentRecipes2[Component], ThingsNeeded[[#This Row],[Component]])</f>
        <v>294</v>
      </c>
      <c r="R86" s="5" t="str">
        <f>IF(ThingsNeeded[[#This Row],[Component]] = "", "", COUNTIF(Recipes[Name], ThingsNeeded[[#This Row],[Component]]))</f>
        <v/>
      </c>
      <c r="S86" s="16" t="b">
        <v>1</v>
      </c>
      <c r="U86" s="6">
        <f t="shared" si="2"/>
        <v>5</v>
      </c>
      <c r="V86" s="51" t="str">
        <f>IFERROR(Recipes[[#This Row],[Selected Name]], "")</f>
        <v/>
      </c>
      <c r="W86" s="51" t="str">
        <f>IFERROR(Recipes[[#This Row],[Selected Component]], "")</f>
        <v/>
      </c>
      <c r="X86" s="52" t="str">
        <f>IFERROR(Recipes[[#This Row],[Selected Quantity]], "")</f>
        <v/>
      </c>
      <c r="Z86" s="53">
        <f t="shared" si="3"/>
        <v>6</v>
      </c>
      <c r="AA86" s="51" t="str">
        <f>IFERROR(Recipes2[[#This Row],[Selected Component]], "")</f>
        <v/>
      </c>
      <c r="AB86" s="51" t="str">
        <f>IFERROR(Recipes2[[#This Row],[Selected Name]], "")</f>
        <v/>
      </c>
      <c r="AC86" s="52" t="str">
        <f>IFERROR(Recipes2[[#This Row],[Selected Quantity]], "")</f>
        <v/>
      </c>
    </row>
    <row r="87" spans="7:29" x14ac:dyDescent="0.25">
      <c r="G87" s="3" t="str">
        <f>IFERROR(INDEX(Items[Name], Items[[#This Row],[Condensed]]), "")</f>
        <v/>
      </c>
      <c r="H87" s="7" t="str">
        <f>IFERROR(INDEX(Items[Producers For Selected Count], Items[[#This Row],[Condensed]]), "")</f>
        <v/>
      </c>
      <c r="I87" s="7" t="str">
        <f>IFERROR(INDEX(Items[Fractional Producers for Selected Count], Items[[#This Row],[Condensed]]), "")</f>
        <v/>
      </c>
      <c r="J87" s="5" t="str">
        <f>IFERROR(INDEX(Items[Base Cycle Time], MATCH(ThingsNeeded[[#This Row],[Component]], Items[Name], 0)), "")</f>
        <v/>
      </c>
      <c r="K87" s="5" t="str">
        <f>IFERROR(ROUND(1 / ThingsNeeded[[#This Row],[Produced Per Second]], 2), "")</f>
        <v/>
      </c>
      <c r="L87" s="5" t="str">
        <f>IFERROR(INDEX(Items[Per Second], MATCH(ThingsNeeded[[#This Row],[Component]], Items[Name], 0)), "")</f>
        <v/>
      </c>
      <c r="M87" s="4" t="str">
        <f>IFERROR(LEFT(INDEX(Items[Producer Type], Items[[#This Row],[Condensed]]), 1), "")</f>
        <v/>
      </c>
      <c r="N87" s="58" t="str">
        <f>IFERROR(CEILING(INDEX(Items[Selected Per Second], Items[[#This Row],[Condensed]]), 0.01), "")</f>
        <v/>
      </c>
      <c r="O87" s="5" t="str">
        <f>IFERROR(ROUND(ThingsNeeded[[#This Row],[Producers]] / ThingsNeeded[[#This Row],[Fractional Producers]] * ThingsNeeded[[#This Row],[Needed Per Second]], 2), "")</f>
        <v/>
      </c>
      <c r="P87" s="19">
        <f>IFERROR(IF(ThingsNeeded[[#This Row],[Used]], 0, ROUND(ThingsNeeded[[#This Row],[Created Per Second]] / ThingsNeeded[[#This Row],[Needed Per Second]] - 1, 2)), "")</f>
        <v>0</v>
      </c>
      <c r="Q87" s="17">
        <f>COUNTIF(ComponentRecipes2[Component], ThingsNeeded[[#This Row],[Component]])</f>
        <v>294</v>
      </c>
      <c r="R87" s="5" t="str">
        <f>IF(ThingsNeeded[[#This Row],[Component]] = "", "", COUNTIF(Recipes[Name], ThingsNeeded[[#This Row],[Component]]))</f>
        <v/>
      </c>
      <c r="S87" s="16" t="b">
        <v>1</v>
      </c>
      <c r="U87" s="6">
        <f t="shared" si="2"/>
        <v>5</v>
      </c>
      <c r="V87" s="51" t="str">
        <f>IFERROR(Recipes[[#This Row],[Selected Name]], "")</f>
        <v/>
      </c>
      <c r="W87" s="51" t="str">
        <f>IFERROR(Recipes[[#This Row],[Selected Component]], "")</f>
        <v/>
      </c>
      <c r="X87" s="52" t="str">
        <f>IFERROR(Recipes[[#This Row],[Selected Quantity]], "")</f>
        <v/>
      </c>
      <c r="Z87" s="53">
        <f t="shared" si="3"/>
        <v>6</v>
      </c>
      <c r="AA87" s="51" t="str">
        <f>IFERROR(Recipes2[[#This Row],[Selected Component]], "")</f>
        <v/>
      </c>
      <c r="AB87" s="51" t="str">
        <f>IFERROR(Recipes2[[#This Row],[Selected Name]], "")</f>
        <v/>
      </c>
      <c r="AC87" s="52" t="str">
        <f>IFERROR(Recipes2[[#This Row],[Selected Quantity]], "")</f>
        <v/>
      </c>
    </row>
    <row r="88" spans="7:29" x14ac:dyDescent="0.25">
      <c r="G88" s="3" t="str">
        <f>IFERROR(INDEX(Items[Name], Items[[#This Row],[Condensed]]), "")</f>
        <v/>
      </c>
      <c r="H88" s="7" t="str">
        <f>IFERROR(INDEX(Items[Producers For Selected Count], Items[[#This Row],[Condensed]]), "")</f>
        <v/>
      </c>
      <c r="I88" s="7" t="str">
        <f>IFERROR(INDEX(Items[Fractional Producers for Selected Count], Items[[#This Row],[Condensed]]), "")</f>
        <v/>
      </c>
      <c r="J88" s="5" t="str">
        <f>IFERROR(INDEX(Items[Base Cycle Time], MATCH(ThingsNeeded[[#This Row],[Component]], Items[Name], 0)), "")</f>
        <v/>
      </c>
      <c r="K88" s="5" t="str">
        <f>IFERROR(ROUND(1 / ThingsNeeded[[#This Row],[Produced Per Second]], 2), "")</f>
        <v/>
      </c>
      <c r="L88" s="5" t="str">
        <f>IFERROR(INDEX(Items[Per Second], MATCH(ThingsNeeded[[#This Row],[Component]], Items[Name], 0)), "")</f>
        <v/>
      </c>
      <c r="M88" s="4" t="str">
        <f>IFERROR(LEFT(INDEX(Items[Producer Type], Items[[#This Row],[Condensed]]), 1), "")</f>
        <v/>
      </c>
      <c r="N88" s="58" t="str">
        <f>IFERROR(CEILING(INDEX(Items[Selected Per Second], Items[[#This Row],[Condensed]]), 0.01), "")</f>
        <v/>
      </c>
      <c r="O88" s="5" t="str">
        <f>IFERROR(ROUND(ThingsNeeded[[#This Row],[Producers]] / ThingsNeeded[[#This Row],[Fractional Producers]] * ThingsNeeded[[#This Row],[Needed Per Second]], 2), "")</f>
        <v/>
      </c>
      <c r="P88" s="19">
        <f>IFERROR(IF(ThingsNeeded[[#This Row],[Used]], 0, ROUND(ThingsNeeded[[#This Row],[Created Per Second]] / ThingsNeeded[[#This Row],[Needed Per Second]] - 1, 2)), "")</f>
        <v>0</v>
      </c>
      <c r="Q88" s="17">
        <f>COUNTIF(ComponentRecipes2[Component], ThingsNeeded[[#This Row],[Component]])</f>
        <v>294</v>
      </c>
      <c r="R88" s="5" t="str">
        <f>IF(ThingsNeeded[[#This Row],[Component]] = "", "", COUNTIF(Recipes[Name], ThingsNeeded[[#This Row],[Component]]))</f>
        <v/>
      </c>
      <c r="S88" s="16" t="b">
        <v>1</v>
      </c>
      <c r="U88" s="6">
        <f t="shared" si="2"/>
        <v>5</v>
      </c>
      <c r="V88" s="51" t="str">
        <f>IFERROR(Recipes[[#This Row],[Selected Name]], "")</f>
        <v/>
      </c>
      <c r="W88" s="51" t="str">
        <f>IFERROR(Recipes[[#This Row],[Selected Component]], "")</f>
        <v/>
      </c>
      <c r="X88" s="52" t="str">
        <f>IFERROR(Recipes[[#This Row],[Selected Quantity]], "")</f>
        <v/>
      </c>
      <c r="Z88" s="53">
        <f t="shared" si="3"/>
        <v>6</v>
      </c>
      <c r="AA88" s="51" t="str">
        <f>IFERROR(Recipes2[[#This Row],[Selected Component]], "")</f>
        <v/>
      </c>
      <c r="AB88" s="51" t="str">
        <f>IFERROR(Recipes2[[#This Row],[Selected Name]], "")</f>
        <v/>
      </c>
      <c r="AC88" s="52" t="str">
        <f>IFERROR(Recipes2[[#This Row],[Selected Quantity]], "")</f>
        <v/>
      </c>
    </row>
    <row r="89" spans="7:29" x14ac:dyDescent="0.25">
      <c r="G89" s="3" t="str">
        <f>IFERROR(INDEX(Items[Name], Items[[#This Row],[Condensed]]), "")</f>
        <v/>
      </c>
      <c r="H89" s="7" t="str">
        <f>IFERROR(INDEX(Items[Producers For Selected Count], Items[[#This Row],[Condensed]]), "")</f>
        <v/>
      </c>
      <c r="I89" s="7" t="str">
        <f>IFERROR(INDEX(Items[Fractional Producers for Selected Count], Items[[#This Row],[Condensed]]), "")</f>
        <v/>
      </c>
      <c r="J89" s="5" t="str">
        <f>IFERROR(INDEX(Items[Base Cycle Time], MATCH(ThingsNeeded[[#This Row],[Component]], Items[Name], 0)), "")</f>
        <v/>
      </c>
      <c r="K89" s="5" t="str">
        <f>IFERROR(ROUND(1 / ThingsNeeded[[#This Row],[Produced Per Second]], 2), "")</f>
        <v/>
      </c>
      <c r="L89" s="5" t="str">
        <f>IFERROR(INDEX(Items[Per Second], MATCH(ThingsNeeded[[#This Row],[Component]], Items[Name], 0)), "")</f>
        <v/>
      </c>
      <c r="M89" s="4" t="str">
        <f>IFERROR(LEFT(INDEX(Items[Producer Type], Items[[#This Row],[Condensed]]), 1), "")</f>
        <v/>
      </c>
      <c r="N89" s="58" t="str">
        <f>IFERROR(CEILING(INDEX(Items[Selected Per Second], Items[[#This Row],[Condensed]]), 0.01), "")</f>
        <v/>
      </c>
      <c r="O89" s="5" t="str">
        <f>IFERROR(ROUND(ThingsNeeded[[#This Row],[Producers]] / ThingsNeeded[[#This Row],[Fractional Producers]] * ThingsNeeded[[#This Row],[Needed Per Second]], 2), "")</f>
        <v/>
      </c>
      <c r="P89" s="19">
        <f>IFERROR(IF(ThingsNeeded[[#This Row],[Used]], 0, ROUND(ThingsNeeded[[#This Row],[Created Per Second]] / ThingsNeeded[[#This Row],[Needed Per Second]] - 1, 2)), "")</f>
        <v>0</v>
      </c>
      <c r="Q89" s="17">
        <f>COUNTIF(ComponentRecipes2[Component], ThingsNeeded[[#This Row],[Component]])</f>
        <v>294</v>
      </c>
      <c r="R89" s="5" t="str">
        <f>IF(ThingsNeeded[[#This Row],[Component]] = "", "", COUNTIF(Recipes[Name], ThingsNeeded[[#This Row],[Component]]))</f>
        <v/>
      </c>
      <c r="S89" s="16" t="b">
        <v>1</v>
      </c>
      <c r="U89" s="6">
        <f t="shared" si="2"/>
        <v>5</v>
      </c>
      <c r="V89" s="51" t="str">
        <f>IFERROR(Recipes[[#This Row],[Selected Name]], "")</f>
        <v/>
      </c>
      <c r="W89" s="51" t="str">
        <f>IFERROR(Recipes[[#This Row],[Selected Component]], "")</f>
        <v/>
      </c>
      <c r="X89" s="52" t="str">
        <f>IFERROR(Recipes[[#This Row],[Selected Quantity]], "")</f>
        <v/>
      </c>
      <c r="Z89" s="53">
        <f t="shared" si="3"/>
        <v>6</v>
      </c>
      <c r="AA89" s="51" t="str">
        <f>IFERROR(Recipes2[[#This Row],[Selected Component]], "")</f>
        <v/>
      </c>
      <c r="AB89" s="51" t="str">
        <f>IFERROR(Recipes2[[#This Row],[Selected Name]], "")</f>
        <v/>
      </c>
      <c r="AC89" s="52" t="str">
        <f>IFERROR(Recipes2[[#This Row],[Selected Quantity]], "")</f>
        <v/>
      </c>
    </row>
    <row r="90" spans="7:29" x14ac:dyDescent="0.25">
      <c r="G90" s="3" t="str">
        <f>IFERROR(INDEX(Items[Name], Items[[#This Row],[Condensed]]), "")</f>
        <v/>
      </c>
      <c r="H90" s="7" t="str">
        <f>IFERROR(INDEX(Items[Producers For Selected Count], Items[[#This Row],[Condensed]]), "")</f>
        <v/>
      </c>
      <c r="I90" s="7" t="str">
        <f>IFERROR(INDEX(Items[Fractional Producers for Selected Count], Items[[#This Row],[Condensed]]), "")</f>
        <v/>
      </c>
      <c r="J90" s="5" t="str">
        <f>IFERROR(INDEX(Items[Base Cycle Time], MATCH(ThingsNeeded[[#This Row],[Component]], Items[Name], 0)), "")</f>
        <v/>
      </c>
      <c r="K90" s="5" t="str">
        <f>IFERROR(ROUND(1 / ThingsNeeded[[#This Row],[Produced Per Second]], 2), "")</f>
        <v/>
      </c>
      <c r="L90" s="5" t="str">
        <f>IFERROR(INDEX(Items[Per Second], MATCH(ThingsNeeded[[#This Row],[Component]], Items[Name], 0)), "")</f>
        <v/>
      </c>
      <c r="M90" s="4" t="str">
        <f>IFERROR(LEFT(INDEX(Items[Producer Type], Items[[#This Row],[Condensed]]), 1), "")</f>
        <v/>
      </c>
      <c r="N90" s="58" t="str">
        <f>IFERROR(CEILING(INDEX(Items[Selected Per Second], Items[[#This Row],[Condensed]]), 0.01), "")</f>
        <v/>
      </c>
      <c r="O90" s="5" t="str">
        <f>IFERROR(ROUND(ThingsNeeded[[#This Row],[Producers]] / ThingsNeeded[[#This Row],[Fractional Producers]] * ThingsNeeded[[#This Row],[Needed Per Second]], 2), "")</f>
        <v/>
      </c>
      <c r="P90" s="19">
        <f>IFERROR(IF(ThingsNeeded[[#This Row],[Used]], 0, ROUND(ThingsNeeded[[#This Row],[Created Per Second]] / ThingsNeeded[[#This Row],[Needed Per Second]] - 1, 2)), "")</f>
        <v>0</v>
      </c>
      <c r="Q90" s="17">
        <f>COUNTIF(ComponentRecipes2[Component], ThingsNeeded[[#This Row],[Component]])</f>
        <v>294</v>
      </c>
      <c r="R90" s="5" t="str">
        <f>IF(ThingsNeeded[[#This Row],[Component]] = "", "", COUNTIF(Recipes[Name], ThingsNeeded[[#This Row],[Component]]))</f>
        <v/>
      </c>
      <c r="S90" s="16" t="b">
        <v>1</v>
      </c>
      <c r="U90" s="6">
        <f t="shared" si="2"/>
        <v>5</v>
      </c>
      <c r="V90" s="51" t="str">
        <f>IFERROR(Recipes[[#This Row],[Selected Name]], "")</f>
        <v/>
      </c>
      <c r="W90" s="51" t="str">
        <f>IFERROR(Recipes[[#This Row],[Selected Component]], "")</f>
        <v/>
      </c>
      <c r="X90" s="52" t="str">
        <f>IFERROR(Recipes[[#This Row],[Selected Quantity]], "")</f>
        <v/>
      </c>
      <c r="Z90" s="53">
        <f t="shared" si="3"/>
        <v>6</v>
      </c>
      <c r="AA90" s="51" t="str">
        <f>IFERROR(Recipes2[[#This Row],[Selected Component]], "")</f>
        <v/>
      </c>
      <c r="AB90" s="51" t="str">
        <f>IFERROR(Recipes2[[#This Row],[Selected Name]], "")</f>
        <v/>
      </c>
      <c r="AC90" s="52" t="str">
        <f>IFERROR(Recipes2[[#This Row],[Selected Quantity]], "")</f>
        <v/>
      </c>
    </row>
    <row r="91" spans="7:29" x14ac:dyDescent="0.25">
      <c r="G91" s="3" t="str">
        <f>IFERROR(INDEX(Items[Name], Items[[#This Row],[Condensed]]), "")</f>
        <v/>
      </c>
      <c r="H91" s="7" t="str">
        <f>IFERROR(INDEX(Items[Producers For Selected Count], Items[[#This Row],[Condensed]]), "")</f>
        <v/>
      </c>
      <c r="I91" s="7" t="str">
        <f>IFERROR(INDEX(Items[Fractional Producers for Selected Count], Items[[#This Row],[Condensed]]), "")</f>
        <v/>
      </c>
      <c r="J91" s="5" t="str">
        <f>IFERROR(INDEX(Items[Base Cycle Time], MATCH(ThingsNeeded[[#This Row],[Component]], Items[Name], 0)), "")</f>
        <v/>
      </c>
      <c r="K91" s="5" t="str">
        <f>IFERROR(ROUND(1 / ThingsNeeded[[#This Row],[Produced Per Second]], 2), "")</f>
        <v/>
      </c>
      <c r="L91" s="5" t="str">
        <f>IFERROR(INDEX(Items[Per Second], MATCH(ThingsNeeded[[#This Row],[Component]], Items[Name], 0)), "")</f>
        <v/>
      </c>
      <c r="M91" s="4" t="str">
        <f>IFERROR(LEFT(INDEX(Items[Producer Type], Items[[#This Row],[Condensed]]), 1), "")</f>
        <v/>
      </c>
      <c r="N91" s="58" t="str">
        <f>IFERROR(CEILING(INDEX(Items[Selected Per Second], Items[[#This Row],[Condensed]]), 0.01), "")</f>
        <v/>
      </c>
      <c r="O91" s="5" t="str">
        <f>IFERROR(ROUND(ThingsNeeded[[#This Row],[Producers]] / ThingsNeeded[[#This Row],[Fractional Producers]] * ThingsNeeded[[#This Row],[Needed Per Second]], 2), "")</f>
        <v/>
      </c>
      <c r="P91" s="19">
        <f>IFERROR(IF(ThingsNeeded[[#This Row],[Used]], 0, ROUND(ThingsNeeded[[#This Row],[Created Per Second]] / ThingsNeeded[[#This Row],[Needed Per Second]] - 1, 2)), "")</f>
        <v>0</v>
      </c>
      <c r="Q91" s="17">
        <f>COUNTIF(ComponentRecipes2[Component], ThingsNeeded[[#This Row],[Component]])</f>
        <v>294</v>
      </c>
      <c r="R91" s="5" t="str">
        <f>IF(ThingsNeeded[[#This Row],[Component]] = "", "", COUNTIF(Recipes[Name], ThingsNeeded[[#This Row],[Component]]))</f>
        <v/>
      </c>
      <c r="S91" s="16" t="b">
        <v>1</v>
      </c>
      <c r="U91" s="6">
        <f t="shared" si="2"/>
        <v>5</v>
      </c>
      <c r="V91" s="51" t="str">
        <f>IFERROR(Recipes[[#This Row],[Selected Name]], "")</f>
        <v/>
      </c>
      <c r="W91" s="51" t="str">
        <f>IFERROR(Recipes[[#This Row],[Selected Component]], "")</f>
        <v/>
      </c>
      <c r="X91" s="52" t="str">
        <f>IFERROR(Recipes[[#This Row],[Selected Quantity]], "")</f>
        <v/>
      </c>
      <c r="Z91" s="53">
        <f t="shared" si="3"/>
        <v>6</v>
      </c>
      <c r="AA91" s="51" t="str">
        <f>IFERROR(Recipes2[[#This Row],[Selected Component]], "")</f>
        <v/>
      </c>
      <c r="AB91" s="51" t="str">
        <f>IFERROR(Recipes2[[#This Row],[Selected Name]], "")</f>
        <v/>
      </c>
      <c r="AC91" s="52" t="str">
        <f>IFERROR(Recipes2[[#This Row],[Selected Quantity]], "")</f>
        <v/>
      </c>
    </row>
    <row r="92" spans="7:29" x14ac:dyDescent="0.25">
      <c r="G92" s="3" t="str">
        <f>IFERROR(INDEX(Items[Name], Items[[#This Row],[Condensed]]), "")</f>
        <v/>
      </c>
      <c r="H92" s="7" t="str">
        <f>IFERROR(INDEX(Items[Producers For Selected Count], Items[[#This Row],[Condensed]]), "")</f>
        <v/>
      </c>
      <c r="I92" s="7" t="str">
        <f>IFERROR(INDEX(Items[Fractional Producers for Selected Count], Items[[#This Row],[Condensed]]), "")</f>
        <v/>
      </c>
      <c r="J92" s="5" t="str">
        <f>IFERROR(INDEX(Items[Base Cycle Time], MATCH(ThingsNeeded[[#This Row],[Component]], Items[Name], 0)), "")</f>
        <v/>
      </c>
      <c r="K92" s="5" t="str">
        <f>IFERROR(ROUND(1 / ThingsNeeded[[#This Row],[Produced Per Second]], 2), "")</f>
        <v/>
      </c>
      <c r="L92" s="5" t="str">
        <f>IFERROR(INDEX(Items[Per Second], MATCH(ThingsNeeded[[#This Row],[Component]], Items[Name], 0)), "")</f>
        <v/>
      </c>
      <c r="M92" s="4" t="str">
        <f>IFERROR(LEFT(INDEX(Items[Producer Type], Items[[#This Row],[Condensed]]), 1), "")</f>
        <v/>
      </c>
      <c r="N92" s="58" t="str">
        <f>IFERROR(CEILING(INDEX(Items[Selected Per Second], Items[[#This Row],[Condensed]]), 0.01), "")</f>
        <v/>
      </c>
      <c r="O92" s="5" t="str">
        <f>IFERROR(ROUND(ThingsNeeded[[#This Row],[Producers]] / ThingsNeeded[[#This Row],[Fractional Producers]] * ThingsNeeded[[#This Row],[Needed Per Second]], 2), "")</f>
        <v/>
      </c>
      <c r="P92" s="19">
        <f>IFERROR(IF(ThingsNeeded[[#This Row],[Used]], 0, ROUND(ThingsNeeded[[#This Row],[Created Per Second]] / ThingsNeeded[[#This Row],[Needed Per Second]] - 1, 2)), "")</f>
        <v>0</v>
      </c>
      <c r="Q92" s="17">
        <f>COUNTIF(ComponentRecipes2[Component], ThingsNeeded[[#This Row],[Component]])</f>
        <v>294</v>
      </c>
      <c r="R92" s="5" t="str">
        <f>IF(ThingsNeeded[[#This Row],[Component]] = "", "", COUNTIF(Recipes[Name], ThingsNeeded[[#This Row],[Component]]))</f>
        <v/>
      </c>
      <c r="S92" s="16" t="b">
        <v>1</v>
      </c>
      <c r="U92" s="6">
        <f t="shared" si="2"/>
        <v>5</v>
      </c>
      <c r="V92" s="51" t="str">
        <f>IFERROR(Recipes[[#This Row],[Selected Name]], "")</f>
        <v/>
      </c>
      <c r="W92" s="51" t="str">
        <f>IFERROR(Recipes[[#This Row],[Selected Component]], "")</f>
        <v/>
      </c>
      <c r="X92" s="52" t="str">
        <f>IFERROR(Recipes[[#This Row],[Selected Quantity]], "")</f>
        <v/>
      </c>
      <c r="Z92" s="53">
        <f t="shared" si="3"/>
        <v>6</v>
      </c>
      <c r="AA92" s="51" t="str">
        <f>IFERROR(Recipes2[[#This Row],[Selected Component]], "")</f>
        <v/>
      </c>
      <c r="AB92" s="51" t="str">
        <f>IFERROR(Recipes2[[#This Row],[Selected Name]], "")</f>
        <v/>
      </c>
      <c r="AC92" s="52" t="str">
        <f>IFERROR(Recipes2[[#This Row],[Selected Quantity]], "")</f>
        <v/>
      </c>
    </row>
    <row r="93" spans="7:29" x14ac:dyDescent="0.25">
      <c r="G93" s="3" t="str">
        <f>IFERROR(INDEX(Items[Name], Items[[#This Row],[Condensed]]), "")</f>
        <v/>
      </c>
      <c r="H93" s="7" t="str">
        <f>IFERROR(INDEX(Items[Producers For Selected Count], Items[[#This Row],[Condensed]]), "")</f>
        <v/>
      </c>
      <c r="I93" s="7" t="str">
        <f>IFERROR(INDEX(Items[Fractional Producers for Selected Count], Items[[#This Row],[Condensed]]), "")</f>
        <v/>
      </c>
      <c r="J93" s="5" t="str">
        <f>IFERROR(INDEX(Items[Base Cycle Time], MATCH(ThingsNeeded[[#This Row],[Component]], Items[Name], 0)), "")</f>
        <v/>
      </c>
      <c r="K93" s="5" t="str">
        <f>IFERROR(ROUND(1 / ThingsNeeded[[#This Row],[Produced Per Second]], 2), "")</f>
        <v/>
      </c>
      <c r="L93" s="5" t="str">
        <f>IFERROR(INDEX(Items[Per Second], MATCH(ThingsNeeded[[#This Row],[Component]], Items[Name], 0)), "")</f>
        <v/>
      </c>
      <c r="M93" s="4" t="str">
        <f>IFERROR(LEFT(INDEX(Items[Producer Type], Items[[#This Row],[Condensed]]), 1), "")</f>
        <v/>
      </c>
      <c r="N93" s="58" t="str">
        <f>IFERROR(CEILING(INDEX(Items[Selected Per Second], Items[[#This Row],[Condensed]]), 0.01), "")</f>
        <v/>
      </c>
      <c r="O93" s="5" t="str">
        <f>IFERROR(ROUND(ThingsNeeded[[#This Row],[Producers]] / ThingsNeeded[[#This Row],[Fractional Producers]] * ThingsNeeded[[#This Row],[Needed Per Second]], 2), "")</f>
        <v/>
      </c>
      <c r="P93" s="19">
        <f>IFERROR(IF(ThingsNeeded[[#This Row],[Used]], 0, ROUND(ThingsNeeded[[#This Row],[Created Per Second]] / ThingsNeeded[[#This Row],[Needed Per Second]] - 1, 2)), "")</f>
        <v>0</v>
      </c>
      <c r="Q93" s="17">
        <f>COUNTIF(ComponentRecipes2[Component], ThingsNeeded[[#This Row],[Component]])</f>
        <v>294</v>
      </c>
      <c r="R93" s="5" t="str">
        <f>IF(ThingsNeeded[[#This Row],[Component]] = "", "", COUNTIF(Recipes[Name], ThingsNeeded[[#This Row],[Component]]))</f>
        <v/>
      </c>
      <c r="S93" s="16" t="b">
        <v>1</v>
      </c>
      <c r="U93" s="6">
        <f t="shared" si="2"/>
        <v>5</v>
      </c>
      <c r="V93" s="51" t="str">
        <f>IFERROR(Recipes[[#This Row],[Selected Name]], "")</f>
        <v/>
      </c>
      <c r="W93" s="51" t="str">
        <f>IFERROR(Recipes[[#This Row],[Selected Component]], "")</f>
        <v/>
      </c>
      <c r="X93" s="52" t="str">
        <f>IFERROR(Recipes[[#This Row],[Selected Quantity]], "")</f>
        <v/>
      </c>
      <c r="Z93" s="53">
        <f t="shared" si="3"/>
        <v>6</v>
      </c>
      <c r="AA93" s="51" t="str">
        <f>IFERROR(Recipes2[[#This Row],[Selected Component]], "")</f>
        <v/>
      </c>
      <c r="AB93" s="51" t="str">
        <f>IFERROR(Recipes2[[#This Row],[Selected Name]], "")</f>
        <v/>
      </c>
      <c r="AC93" s="52" t="str">
        <f>IFERROR(Recipes2[[#This Row],[Selected Quantity]], "")</f>
        <v/>
      </c>
    </row>
    <row r="94" spans="7:29" x14ac:dyDescent="0.25">
      <c r="G94" s="3" t="str">
        <f>IFERROR(INDEX(Items[Name], Items[[#This Row],[Condensed]]), "")</f>
        <v/>
      </c>
      <c r="H94" s="7" t="str">
        <f>IFERROR(INDEX(Items[Producers For Selected Count], Items[[#This Row],[Condensed]]), "")</f>
        <v/>
      </c>
      <c r="I94" s="7" t="str">
        <f>IFERROR(INDEX(Items[Fractional Producers for Selected Count], Items[[#This Row],[Condensed]]), "")</f>
        <v/>
      </c>
      <c r="J94" s="5" t="str">
        <f>IFERROR(INDEX(Items[Base Cycle Time], MATCH(ThingsNeeded[[#This Row],[Component]], Items[Name], 0)), "")</f>
        <v/>
      </c>
      <c r="K94" s="5" t="str">
        <f>IFERROR(ROUND(1 / ThingsNeeded[[#This Row],[Produced Per Second]], 2), "")</f>
        <v/>
      </c>
      <c r="L94" s="5" t="str">
        <f>IFERROR(INDEX(Items[Per Second], MATCH(ThingsNeeded[[#This Row],[Component]], Items[Name], 0)), "")</f>
        <v/>
      </c>
      <c r="M94" s="4" t="str">
        <f>IFERROR(LEFT(INDEX(Items[Producer Type], Items[[#This Row],[Condensed]]), 1), "")</f>
        <v/>
      </c>
      <c r="N94" s="58" t="str">
        <f>IFERROR(CEILING(INDEX(Items[Selected Per Second], Items[[#This Row],[Condensed]]), 0.01), "")</f>
        <v/>
      </c>
      <c r="O94" s="5" t="str">
        <f>IFERROR(ROUND(ThingsNeeded[[#This Row],[Producers]] / ThingsNeeded[[#This Row],[Fractional Producers]] * ThingsNeeded[[#This Row],[Needed Per Second]], 2), "")</f>
        <v/>
      </c>
      <c r="P94" s="19">
        <f>IFERROR(IF(ThingsNeeded[[#This Row],[Used]], 0, ROUND(ThingsNeeded[[#This Row],[Created Per Second]] / ThingsNeeded[[#This Row],[Needed Per Second]] - 1, 2)), "")</f>
        <v>0</v>
      </c>
      <c r="Q94" s="17">
        <f>COUNTIF(ComponentRecipes2[Component], ThingsNeeded[[#This Row],[Component]])</f>
        <v>294</v>
      </c>
      <c r="R94" s="5" t="str">
        <f>IF(ThingsNeeded[[#This Row],[Component]] = "", "", COUNTIF(Recipes[Name], ThingsNeeded[[#This Row],[Component]]))</f>
        <v/>
      </c>
      <c r="S94" s="16" t="b">
        <v>1</v>
      </c>
      <c r="U94" s="6">
        <f t="shared" si="2"/>
        <v>5</v>
      </c>
      <c r="V94" s="51" t="str">
        <f>IFERROR(Recipes[[#This Row],[Selected Name]], "")</f>
        <v/>
      </c>
      <c r="W94" s="51" t="str">
        <f>IFERROR(Recipes[[#This Row],[Selected Component]], "")</f>
        <v/>
      </c>
      <c r="X94" s="52" t="str">
        <f>IFERROR(Recipes[[#This Row],[Selected Quantity]], "")</f>
        <v/>
      </c>
      <c r="Z94" s="53">
        <f t="shared" si="3"/>
        <v>6</v>
      </c>
      <c r="AA94" s="51" t="str">
        <f>IFERROR(Recipes2[[#This Row],[Selected Component]], "")</f>
        <v/>
      </c>
      <c r="AB94" s="51" t="str">
        <f>IFERROR(Recipes2[[#This Row],[Selected Name]], "")</f>
        <v/>
      </c>
      <c r="AC94" s="52" t="str">
        <f>IFERROR(Recipes2[[#This Row],[Selected Quantity]], "")</f>
        <v/>
      </c>
    </row>
    <row r="95" spans="7:29" x14ac:dyDescent="0.25">
      <c r="G95" s="3" t="str">
        <f>IFERROR(INDEX(Items[Name], Items[[#This Row],[Condensed]]), "")</f>
        <v/>
      </c>
      <c r="H95" s="7" t="str">
        <f>IFERROR(INDEX(Items[Producers For Selected Count], Items[[#This Row],[Condensed]]), "")</f>
        <v/>
      </c>
      <c r="I95" s="7" t="str">
        <f>IFERROR(INDEX(Items[Fractional Producers for Selected Count], Items[[#This Row],[Condensed]]), "")</f>
        <v/>
      </c>
      <c r="J95" s="5" t="str">
        <f>IFERROR(INDEX(Items[Base Cycle Time], MATCH(ThingsNeeded[[#This Row],[Component]], Items[Name], 0)), "")</f>
        <v/>
      </c>
      <c r="K95" s="5" t="str">
        <f>IFERROR(ROUND(1 / ThingsNeeded[[#This Row],[Produced Per Second]], 2), "")</f>
        <v/>
      </c>
      <c r="L95" s="5" t="str">
        <f>IFERROR(INDEX(Items[Per Second], MATCH(ThingsNeeded[[#This Row],[Component]], Items[Name], 0)), "")</f>
        <v/>
      </c>
      <c r="M95" s="4" t="str">
        <f>IFERROR(LEFT(INDEX(Items[Producer Type], Items[[#This Row],[Condensed]]), 1), "")</f>
        <v/>
      </c>
      <c r="N95" s="58" t="str">
        <f>IFERROR(CEILING(INDEX(Items[Selected Per Second], Items[[#This Row],[Condensed]]), 0.01), "")</f>
        <v/>
      </c>
      <c r="O95" s="5" t="str">
        <f>IFERROR(ROUND(ThingsNeeded[[#This Row],[Producers]] / ThingsNeeded[[#This Row],[Fractional Producers]] * ThingsNeeded[[#This Row],[Needed Per Second]], 2), "")</f>
        <v/>
      </c>
      <c r="P95" s="19">
        <f>IFERROR(IF(ThingsNeeded[[#This Row],[Used]], 0, ROUND(ThingsNeeded[[#This Row],[Created Per Second]] / ThingsNeeded[[#This Row],[Needed Per Second]] - 1, 2)), "")</f>
        <v>0</v>
      </c>
      <c r="Q95" s="17">
        <f>COUNTIF(ComponentRecipes2[Component], ThingsNeeded[[#This Row],[Component]])</f>
        <v>294</v>
      </c>
      <c r="R95" s="5" t="str">
        <f>IF(ThingsNeeded[[#This Row],[Component]] = "", "", COUNTIF(Recipes[Name], ThingsNeeded[[#This Row],[Component]]))</f>
        <v/>
      </c>
      <c r="S95" s="16" t="b">
        <v>1</v>
      </c>
      <c r="U95" s="6">
        <f t="shared" si="2"/>
        <v>5</v>
      </c>
      <c r="V95" s="51" t="str">
        <f>IFERROR(Recipes[[#This Row],[Selected Name]], "")</f>
        <v/>
      </c>
      <c r="W95" s="51" t="str">
        <f>IFERROR(Recipes[[#This Row],[Selected Component]], "")</f>
        <v/>
      </c>
      <c r="X95" s="52" t="str">
        <f>IFERROR(Recipes[[#This Row],[Selected Quantity]], "")</f>
        <v/>
      </c>
      <c r="Z95" s="53">
        <f t="shared" si="3"/>
        <v>6</v>
      </c>
      <c r="AA95" s="51" t="str">
        <f>IFERROR(Recipes2[[#This Row],[Selected Component]], "")</f>
        <v/>
      </c>
      <c r="AB95" s="51" t="str">
        <f>IFERROR(Recipes2[[#This Row],[Selected Name]], "")</f>
        <v/>
      </c>
      <c r="AC95" s="52" t="str">
        <f>IFERROR(Recipes2[[#This Row],[Selected Quantity]], "")</f>
        <v/>
      </c>
    </row>
    <row r="96" spans="7:29" x14ac:dyDescent="0.25">
      <c r="G96" s="3" t="str">
        <f>IFERROR(INDEX(Items[Name], Items[[#This Row],[Condensed]]), "")</f>
        <v/>
      </c>
      <c r="H96" s="7" t="str">
        <f>IFERROR(INDEX(Items[Producers For Selected Count], Items[[#This Row],[Condensed]]), "")</f>
        <v/>
      </c>
      <c r="I96" s="7" t="str">
        <f>IFERROR(INDEX(Items[Fractional Producers for Selected Count], Items[[#This Row],[Condensed]]), "")</f>
        <v/>
      </c>
      <c r="J96" s="5" t="str">
        <f>IFERROR(INDEX(Items[Base Cycle Time], MATCH(ThingsNeeded[[#This Row],[Component]], Items[Name], 0)), "")</f>
        <v/>
      </c>
      <c r="K96" s="5" t="str">
        <f>IFERROR(ROUND(1 / ThingsNeeded[[#This Row],[Produced Per Second]], 2), "")</f>
        <v/>
      </c>
      <c r="L96" s="5" t="str">
        <f>IFERROR(INDEX(Items[Per Second], MATCH(ThingsNeeded[[#This Row],[Component]], Items[Name], 0)), "")</f>
        <v/>
      </c>
      <c r="M96" s="4" t="str">
        <f>IFERROR(LEFT(INDEX(Items[Producer Type], Items[[#This Row],[Condensed]]), 1), "")</f>
        <v/>
      </c>
      <c r="N96" s="58" t="str">
        <f>IFERROR(CEILING(INDEX(Items[Selected Per Second], Items[[#This Row],[Condensed]]), 0.01), "")</f>
        <v/>
      </c>
      <c r="O96" s="5" t="str">
        <f>IFERROR(ROUND(ThingsNeeded[[#This Row],[Producers]] / ThingsNeeded[[#This Row],[Fractional Producers]] * ThingsNeeded[[#This Row],[Needed Per Second]], 2), "")</f>
        <v/>
      </c>
      <c r="P96" s="19">
        <f>IFERROR(IF(ThingsNeeded[[#This Row],[Used]], 0, ROUND(ThingsNeeded[[#This Row],[Created Per Second]] / ThingsNeeded[[#This Row],[Needed Per Second]] - 1, 2)), "")</f>
        <v>0</v>
      </c>
      <c r="Q96" s="17">
        <f>COUNTIF(ComponentRecipes2[Component], ThingsNeeded[[#This Row],[Component]])</f>
        <v>294</v>
      </c>
      <c r="R96" s="5" t="str">
        <f>IF(ThingsNeeded[[#This Row],[Component]] = "", "", COUNTIF(Recipes[Name], ThingsNeeded[[#This Row],[Component]]))</f>
        <v/>
      </c>
      <c r="S96" s="16" t="b">
        <v>1</v>
      </c>
      <c r="U96" s="6">
        <f t="shared" si="2"/>
        <v>5</v>
      </c>
      <c r="V96" s="51" t="str">
        <f>IFERROR(Recipes[[#This Row],[Selected Name]], "")</f>
        <v/>
      </c>
      <c r="W96" s="51" t="str">
        <f>IFERROR(Recipes[[#This Row],[Selected Component]], "")</f>
        <v/>
      </c>
      <c r="X96" s="52" t="str">
        <f>IFERROR(Recipes[[#This Row],[Selected Quantity]], "")</f>
        <v/>
      </c>
      <c r="Z96" s="53">
        <f t="shared" si="3"/>
        <v>6</v>
      </c>
      <c r="AA96" s="51" t="str">
        <f>IFERROR(Recipes2[[#This Row],[Selected Component]], "")</f>
        <v/>
      </c>
      <c r="AB96" s="51" t="str">
        <f>IFERROR(Recipes2[[#This Row],[Selected Name]], "")</f>
        <v/>
      </c>
      <c r="AC96" s="52" t="str">
        <f>IFERROR(Recipes2[[#This Row],[Selected Quantity]], "")</f>
        <v/>
      </c>
    </row>
    <row r="97" spans="7:29" x14ac:dyDescent="0.25">
      <c r="G97" s="3" t="str">
        <f>IFERROR(INDEX(Items[Name], Items[[#This Row],[Condensed]]), "")</f>
        <v/>
      </c>
      <c r="H97" s="7" t="str">
        <f>IFERROR(INDEX(Items[Producers For Selected Count], Items[[#This Row],[Condensed]]), "")</f>
        <v/>
      </c>
      <c r="I97" s="7" t="str">
        <f>IFERROR(INDEX(Items[Fractional Producers for Selected Count], Items[[#This Row],[Condensed]]), "")</f>
        <v/>
      </c>
      <c r="J97" s="5" t="str">
        <f>IFERROR(INDEX(Items[Base Cycle Time], MATCH(ThingsNeeded[[#This Row],[Component]], Items[Name], 0)), "")</f>
        <v/>
      </c>
      <c r="K97" s="5" t="str">
        <f>IFERROR(ROUND(1 / ThingsNeeded[[#This Row],[Produced Per Second]], 2), "")</f>
        <v/>
      </c>
      <c r="L97" s="5" t="str">
        <f>IFERROR(INDEX(Items[Per Second], MATCH(ThingsNeeded[[#This Row],[Component]], Items[Name], 0)), "")</f>
        <v/>
      </c>
      <c r="M97" s="4" t="str">
        <f>IFERROR(LEFT(INDEX(Items[Producer Type], Items[[#This Row],[Condensed]]), 1), "")</f>
        <v/>
      </c>
      <c r="N97" s="58" t="str">
        <f>IFERROR(CEILING(INDEX(Items[Selected Per Second], Items[[#This Row],[Condensed]]), 0.01), "")</f>
        <v/>
      </c>
      <c r="O97" s="5" t="str">
        <f>IFERROR(ROUND(ThingsNeeded[[#This Row],[Producers]] / ThingsNeeded[[#This Row],[Fractional Producers]] * ThingsNeeded[[#This Row],[Needed Per Second]], 2), "")</f>
        <v/>
      </c>
      <c r="P97" s="19">
        <f>IFERROR(IF(ThingsNeeded[[#This Row],[Used]], 0, ROUND(ThingsNeeded[[#This Row],[Created Per Second]] / ThingsNeeded[[#This Row],[Needed Per Second]] - 1, 2)), "")</f>
        <v>0</v>
      </c>
      <c r="Q97" s="17">
        <f>COUNTIF(ComponentRecipes2[Component], ThingsNeeded[[#This Row],[Component]])</f>
        <v>294</v>
      </c>
      <c r="R97" s="5" t="str">
        <f>IF(ThingsNeeded[[#This Row],[Component]] = "", "", COUNTIF(Recipes[Name], ThingsNeeded[[#This Row],[Component]]))</f>
        <v/>
      </c>
      <c r="S97" s="16" t="b">
        <v>1</v>
      </c>
      <c r="U97" s="6">
        <f t="shared" si="2"/>
        <v>5</v>
      </c>
      <c r="V97" s="51" t="str">
        <f>IFERROR(Recipes[[#This Row],[Selected Name]], "")</f>
        <v/>
      </c>
      <c r="W97" s="51" t="str">
        <f>IFERROR(Recipes[[#This Row],[Selected Component]], "")</f>
        <v/>
      </c>
      <c r="X97" s="52" t="str">
        <f>IFERROR(Recipes[[#This Row],[Selected Quantity]], "")</f>
        <v/>
      </c>
      <c r="Z97" s="53">
        <f t="shared" si="3"/>
        <v>6</v>
      </c>
      <c r="AA97" s="51" t="str">
        <f>IFERROR(Recipes2[[#This Row],[Selected Component]], "")</f>
        <v/>
      </c>
      <c r="AB97" s="51" t="str">
        <f>IFERROR(Recipes2[[#This Row],[Selected Name]], "")</f>
        <v/>
      </c>
      <c r="AC97" s="52" t="str">
        <f>IFERROR(Recipes2[[#This Row],[Selected Quantity]], "")</f>
        <v/>
      </c>
    </row>
    <row r="98" spans="7:29" x14ac:dyDescent="0.25">
      <c r="G98" s="3" t="str">
        <f>IFERROR(INDEX(Items[Name], Items[[#This Row],[Condensed]]), "")</f>
        <v/>
      </c>
      <c r="H98" s="7" t="str">
        <f>IFERROR(INDEX(Items[Producers For Selected Count], Items[[#This Row],[Condensed]]), "")</f>
        <v/>
      </c>
      <c r="I98" s="7" t="str">
        <f>IFERROR(INDEX(Items[Fractional Producers for Selected Count], Items[[#This Row],[Condensed]]), "")</f>
        <v/>
      </c>
      <c r="J98" s="5" t="str">
        <f>IFERROR(INDEX(Items[Base Cycle Time], MATCH(ThingsNeeded[[#This Row],[Component]], Items[Name], 0)), "")</f>
        <v/>
      </c>
      <c r="K98" s="5" t="str">
        <f>IFERROR(ROUND(1 / ThingsNeeded[[#This Row],[Produced Per Second]], 2), "")</f>
        <v/>
      </c>
      <c r="L98" s="5" t="str">
        <f>IFERROR(INDEX(Items[Per Second], MATCH(ThingsNeeded[[#This Row],[Component]], Items[Name], 0)), "")</f>
        <v/>
      </c>
      <c r="M98" s="4" t="str">
        <f>IFERROR(LEFT(INDEX(Items[Producer Type], Items[[#This Row],[Condensed]]), 1), "")</f>
        <v/>
      </c>
      <c r="N98" s="58" t="str">
        <f>IFERROR(CEILING(INDEX(Items[Selected Per Second], Items[[#This Row],[Condensed]]), 0.01), "")</f>
        <v/>
      </c>
      <c r="O98" s="5" t="str">
        <f>IFERROR(ROUND(ThingsNeeded[[#This Row],[Producers]] / ThingsNeeded[[#This Row],[Fractional Producers]] * ThingsNeeded[[#This Row],[Needed Per Second]], 2), "")</f>
        <v/>
      </c>
      <c r="P98" s="19">
        <f>IFERROR(IF(ThingsNeeded[[#This Row],[Used]], 0, ROUND(ThingsNeeded[[#This Row],[Created Per Second]] / ThingsNeeded[[#This Row],[Needed Per Second]] - 1, 2)), "")</f>
        <v>0</v>
      </c>
      <c r="Q98" s="17">
        <f>COUNTIF(ComponentRecipes2[Component], ThingsNeeded[[#This Row],[Component]])</f>
        <v>294</v>
      </c>
      <c r="R98" s="5" t="str">
        <f>IF(ThingsNeeded[[#This Row],[Component]] = "", "", COUNTIF(Recipes[Name], ThingsNeeded[[#This Row],[Component]]))</f>
        <v/>
      </c>
      <c r="S98" s="16" t="b">
        <v>1</v>
      </c>
      <c r="U98" s="6">
        <f t="shared" si="2"/>
        <v>5</v>
      </c>
      <c r="V98" s="51" t="str">
        <f>IFERROR(Recipes[[#This Row],[Selected Name]], "")</f>
        <v/>
      </c>
      <c r="W98" s="51" t="str">
        <f>IFERROR(Recipes[[#This Row],[Selected Component]], "")</f>
        <v/>
      </c>
      <c r="X98" s="52" t="str">
        <f>IFERROR(Recipes[[#This Row],[Selected Quantity]], "")</f>
        <v/>
      </c>
      <c r="Z98" s="53">
        <f t="shared" si="3"/>
        <v>6</v>
      </c>
      <c r="AA98" s="51" t="str">
        <f>IFERROR(Recipes2[[#This Row],[Selected Component]], "")</f>
        <v/>
      </c>
      <c r="AB98" s="51" t="str">
        <f>IFERROR(Recipes2[[#This Row],[Selected Name]], "")</f>
        <v/>
      </c>
      <c r="AC98" s="52" t="str">
        <f>IFERROR(Recipes2[[#This Row],[Selected Quantity]], "")</f>
        <v/>
      </c>
    </row>
    <row r="99" spans="7:29" x14ac:dyDescent="0.25">
      <c r="G99" s="3" t="str">
        <f>IFERROR(INDEX(Items[Name], Items[[#This Row],[Condensed]]), "")</f>
        <v/>
      </c>
      <c r="H99" s="7" t="str">
        <f>IFERROR(INDEX(Items[Producers For Selected Count], Items[[#This Row],[Condensed]]), "")</f>
        <v/>
      </c>
      <c r="I99" s="7" t="str">
        <f>IFERROR(INDEX(Items[Fractional Producers for Selected Count], Items[[#This Row],[Condensed]]), "")</f>
        <v/>
      </c>
      <c r="J99" s="5" t="str">
        <f>IFERROR(INDEX(Items[Base Cycle Time], MATCH(ThingsNeeded[[#This Row],[Component]], Items[Name], 0)), "")</f>
        <v/>
      </c>
      <c r="K99" s="5" t="str">
        <f>IFERROR(ROUND(1 / ThingsNeeded[[#This Row],[Produced Per Second]], 2), "")</f>
        <v/>
      </c>
      <c r="L99" s="5" t="str">
        <f>IFERROR(INDEX(Items[Per Second], MATCH(ThingsNeeded[[#This Row],[Component]], Items[Name], 0)), "")</f>
        <v/>
      </c>
      <c r="M99" s="4" t="str">
        <f>IFERROR(LEFT(INDEX(Items[Producer Type], Items[[#This Row],[Condensed]]), 1), "")</f>
        <v/>
      </c>
      <c r="N99" s="58" t="str">
        <f>IFERROR(CEILING(INDEX(Items[Selected Per Second], Items[[#This Row],[Condensed]]), 0.01), "")</f>
        <v/>
      </c>
      <c r="O99" s="5" t="str">
        <f>IFERROR(ROUND(ThingsNeeded[[#This Row],[Producers]] / ThingsNeeded[[#This Row],[Fractional Producers]] * ThingsNeeded[[#This Row],[Needed Per Second]], 2), "")</f>
        <v/>
      </c>
      <c r="P99" s="19">
        <f>IFERROR(IF(ThingsNeeded[[#This Row],[Used]], 0, ROUND(ThingsNeeded[[#This Row],[Created Per Second]] / ThingsNeeded[[#This Row],[Needed Per Second]] - 1, 2)), "")</f>
        <v>0</v>
      </c>
      <c r="Q99" s="17">
        <f>COUNTIF(ComponentRecipes2[Component], ThingsNeeded[[#This Row],[Component]])</f>
        <v>294</v>
      </c>
      <c r="R99" s="5" t="str">
        <f>IF(ThingsNeeded[[#This Row],[Component]] = "", "", COUNTIF(Recipes[Name], ThingsNeeded[[#This Row],[Component]]))</f>
        <v/>
      </c>
      <c r="S99" s="16" t="b">
        <v>1</v>
      </c>
      <c r="U99" s="6">
        <f t="shared" si="2"/>
        <v>5</v>
      </c>
      <c r="V99" s="51" t="str">
        <f>IFERROR(Recipes[[#This Row],[Selected Name]], "")</f>
        <v/>
      </c>
      <c r="W99" s="51" t="str">
        <f>IFERROR(Recipes[[#This Row],[Selected Component]], "")</f>
        <v/>
      </c>
      <c r="X99" s="52" t="str">
        <f>IFERROR(Recipes[[#This Row],[Selected Quantity]], "")</f>
        <v/>
      </c>
      <c r="Z99" s="53">
        <f t="shared" si="3"/>
        <v>6</v>
      </c>
      <c r="AA99" s="51" t="str">
        <f>IFERROR(Recipes2[[#This Row],[Selected Component]], "")</f>
        <v/>
      </c>
      <c r="AB99" s="51" t="str">
        <f>IFERROR(Recipes2[[#This Row],[Selected Name]], "")</f>
        <v/>
      </c>
      <c r="AC99" s="52" t="str">
        <f>IFERROR(Recipes2[[#This Row],[Selected Quantity]], "")</f>
        <v/>
      </c>
    </row>
    <row r="100" spans="7:29" x14ac:dyDescent="0.25">
      <c r="G100" s="3" t="str">
        <f>IFERROR(INDEX(Items[Name], Items[[#This Row],[Condensed]]), "")</f>
        <v/>
      </c>
      <c r="H100" s="7" t="str">
        <f>IFERROR(INDEX(Items[Producers For Selected Count], Items[[#This Row],[Condensed]]), "")</f>
        <v/>
      </c>
      <c r="I100" s="7" t="str">
        <f>IFERROR(INDEX(Items[Fractional Producers for Selected Count], Items[[#This Row],[Condensed]]), "")</f>
        <v/>
      </c>
      <c r="J100" s="5" t="str">
        <f>IFERROR(INDEX(Items[Base Cycle Time], MATCH(ThingsNeeded[[#This Row],[Component]], Items[Name], 0)), "")</f>
        <v/>
      </c>
      <c r="K100" s="5" t="str">
        <f>IFERROR(ROUND(1 / ThingsNeeded[[#This Row],[Produced Per Second]], 2), "")</f>
        <v/>
      </c>
      <c r="L100" s="5" t="str">
        <f>IFERROR(INDEX(Items[Per Second], MATCH(ThingsNeeded[[#This Row],[Component]], Items[Name], 0)), "")</f>
        <v/>
      </c>
      <c r="M100" s="4" t="str">
        <f>IFERROR(LEFT(INDEX(Items[Producer Type], Items[[#This Row],[Condensed]]), 1), "")</f>
        <v/>
      </c>
      <c r="N100" s="58" t="str">
        <f>IFERROR(CEILING(INDEX(Items[Selected Per Second], Items[[#This Row],[Condensed]]), 0.01), "")</f>
        <v/>
      </c>
      <c r="O100" s="5" t="str">
        <f>IFERROR(ROUND(ThingsNeeded[[#This Row],[Producers]] / ThingsNeeded[[#This Row],[Fractional Producers]] * ThingsNeeded[[#This Row],[Needed Per Second]], 2), "")</f>
        <v/>
      </c>
      <c r="P100" s="19">
        <f>IFERROR(IF(ThingsNeeded[[#This Row],[Used]], 0, ROUND(ThingsNeeded[[#This Row],[Created Per Second]] / ThingsNeeded[[#This Row],[Needed Per Second]] - 1, 2)), "")</f>
        <v>0</v>
      </c>
      <c r="Q100" s="17">
        <f>COUNTIF(ComponentRecipes2[Component], ThingsNeeded[[#This Row],[Component]])</f>
        <v>294</v>
      </c>
      <c r="R100" s="5" t="str">
        <f>IF(ThingsNeeded[[#This Row],[Component]] = "", "", COUNTIF(Recipes[Name], ThingsNeeded[[#This Row],[Component]]))</f>
        <v/>
      </c>
      <c r="S100" s="16" t="b">
        <v>1</v>
      </c>
      <c r="U100" s="6">
        <f t="shared" si="2"/>
        <v>5</v>
      </c>
      <c r="V100" s="51" t="str">
        <f>IFERROR(Recipes[[#This Row],[Selected Name]], "")</f>
        <v/>
      </c>
      <c r="W100" s="51" t="str">
        <f>IFERROR(Recipes[[#This Row],[Selected Component]], "")</f>
        <v/>
      </c>
      <c r="X100" s="52" t="str">
        <f>IFERROR(Recipes[[#This Row],[Selected Quantity]], "")</f>
        <v/>
      </c>
      <c r="Z100" s="53">
        <f t="shared" si="3"/>
        <v>6</v>
      </c>
      <c r="AA100" s="51" t="str">
        <f>IFERROR(Recipes2[[#This Row],[Selected Component]], "")</f>
        <v/>
      </c>
      <c r="AB100" s="51" t="str">
        <f>IFERROR(Recipes2[[#This Row],[Selected Name]], "")</f>
        <v/>
      </c>
      <c r="AC100" s="52" t="str">
        <f>IFERROR(Recipes2[[#This Row],[Selected Quantity]], "")</f>
        <v/>
      </c>
    </row>
    <row r="101" spans="7:29" x14ac:dyDescent="0.25">
      <c r="U101" s="6">
        <f t="shared" si="2"/>
        <v>5</v>
      </c>
      <c r="V101" s="51" t="str">
        <f>IFERROR(Recipes[[#This Row],[Selected Name]], "")</f>
        <v/>
      </c>
      <c r="W101" s="51" t="str">
        <f>IFERROR(Recipes[[#This Row],[Selected Component]], "")</f>
        <v/>
      </c>
      <c r="X101" s="52" t="str">
        <f>IFERROR(Recipes[[#This Row],[Selected Quantity]], "")</f>
        <v/>
      </c>
      <c r="Z101" s="53">
        <f t="shared" si="3"/>
        <v>6</v>
      </c>
      <c r="AA101" s="51" t="str">
        <f>IFERROR(Recipes2[[#This Row],[Selected Component]], "")</f>
        <v/>
      </c>
      <c r="AB101" s="51" t="str">
        <f>IFERROR(Recipes2[[#This Row],[Selected Name]], "")</f>
        <v/>
      </c>
      <c r="AC101" s="52" t="str">
        <f>IFERROR(Recipes2[[#This Row],[Selected Quantity]], "")</f>
        <v/>
      </c>
    </row>
    <row r="102" spans="7:29" x14ac:dyDescent="0.25">
      <c r="U102" s="6">
        <f t="shared" si="2"/>
        <v>5</v>
      </c>
      <c r="V102" s="51" t="str">
        <f>IFERROR(Recipes[[#This Row],[Selected Name]], "")</f>
        <v/>
      </c>
      <c r="W102" s="51" t="str">
        <f>IFERROR(Recipes[[#This Row],[Selected Component]], "")</f>
        <v/>
      </c>
      <c r="X102" s="52" t="str">
        <f>IFERROR(Recipes[[#This Row],[Selected Quantity]], "")</f>
        <v/>
      </c>
      <c r="Z102" s="53">
        <f t="shared" si="3"/>
        <v>6</v>
      </c>
      <c r="AA102" s="51" t="str">
        <f>IFERROR(Recipes2[[#This Row],[Selected Component]], "")</f>
        <v/>
      </c>
      <c r="AB102" s="51" t="str">
        <f>IFERROR(Recipes2[[#This Row],[Selected Name]], "")</f>
        <v/>
      </c>
      <c r="AC102" s="52" t="str">
        <f>IFERROR(Recipes2[[#This Row],[Selected Quantity]], "")</f>
        <v/>
      </c>
    </row>
    <row r="103" spans="7:29" x14ac:dyDescent="0.25">
      <c r="U103" s="6">
        <f t="shared" si="2"/>
        <v>5</v>
      </c>
      <c r="V103" s="51" t="str">
        <f>IFERROR(Recipes[[#This Row],[Selected Name]], "")</f>
        <v/>
      </c>
      <c r="W103" s="51" t="str">
        <f>IFERROR(Recipes[[#This Row],[Selected Component]], "")</f>
        <v/>
      </c>
      <c r="X103" s="52" t="str">
        <f>IFERROR(Recipes[[#This Row],[Selected Quantity]], "")</f>
        <v/>
      </c>
      <c r="Z103" s="53">
        <f t="shared" si="3"/>
        <v>6</v>
      </c>
      <c r="AA103" s="51" t="str">
        <f>IFERROR(Recipes2[[#This Row],[Selected Component]], "")</f>
        <v/>
      </c>
      <c r="AB103" s="51" t="str">
        <f>IFERROR(Recipes2[[#This Row],[Selected Name]], "")</f>
        <v/>
      </c>
      <c r="AC103" s="52" t="str">
        <f>IFERROR(Recipes2[[#This Row],[Selected Quantity]], "")</f>
        <v/>
      </c>
    </row>
    <row r="104" spans="7:29" x14ac:dyDescent="0.25">
      <c r="U104" s="6">
        <f t="shared" si="2"/>
        <v>5</v>
      </c>
      <c r="V104" s="51" t="str">
        <f>IFERROR(Recipes[[#This Row],[Selected Name]], "")</f>
        <v/>
      </c>
      <c r="W104" s="51" t="str">
        <f>IFERROR(Recipes[[#This Row],[Selected Component]], "")</f>
        <v/>
      </c>
      <c r="X104" s="52" t="str">
        <f>IFERROR(Recipes[[#This Row],[Selected Quantity]], "")</f>
        <v/>
      </c>
      <c r="Z104" s="53">
        <f t="shared" si="3"/>
        <v>6</v>
      </c>
      <c r="AA104" s="51" t="str">
        <f>IFERROR(Recipes2[[#This Row],[Selected Component]], "")</f>
        <v/>
      </c>
      <c r="AB104" s="51" t="str">
        <f>IFERROR(Recipes2[[#This Row],[Selected Name]], "")</f>
        <v/>
      </c>
      <c r="AC104" s="52" t="str">
        <f>IFERROR(Recipes2[[#This Row],[Selected Quantity]], "")</f>
        <v/>
      </c>
    </row>
    <row r="105" spans="7:29" x14ac:dyDescent="0.25">
      <c r="U105" s="6">
        <f t="shared" si="2"/>
        <v>5</v>
      </c>
      <c r="V105" s="51" t="str">
        <f>IFERROR(Recipes[[#This Row],[Selected Name]], "")</f>
        <v/>
      </c>
      <c r="W105" s="51" t="str">
        <f>IFERROR(Recipes[[#This Row],[Selected Component]], "")</f>
        <v/>
      </c>
      <c r="X105" s="52" t="str">
        <f>IFERROR(Recipes[[#This Row],[Selected Quantity]], "")</f>
        <v/>
      </c>
      <c r="Z105" s="53">
        <f t="shared" si="3"/>
        <v>6</v>
      </c>
      <c r="AA105" s="51" t="str">
        <f>IFERROR(Recipes2[[#This Row],[Selected Component]], "")</f>
        <v/>
      </c>
      <c r="AB105" s="51" t="str">
        <f>IFERROR(Recipes2[[#This Row],[Selected Name]], "")</f>
        <v/>
      </c>
      <c r="AC105" s="52" t="str">
        <f>IFERROR(Recipes2[[#This Row],[Selected Quantity]], "")</f>
        <v/>
      </c>
    </row>
    <row r="106" spans="7:29" x14ac:dyDescent="0.25">
      <c r="U106" s="6">
        <f t="shared" si="2"/>
        <v>5</v>
      </c>
      <c r="V106" s="51" t="str">
        <f>IFERROR(Recipes[[#This Row],[Selected Name]], "")</f>
        <v/>
      </c>
      <c r="W106" s="51" t="str">
        <f>IFERROR(Recipes[[#This Row],[Selected Component]], "")</f>
        <v/>
      </c>
      <c r="X106" s="52" t="str">
        <f>IFERROR(Recipes[[#This Row],[Selected Quantity]], "")</f>
        <v/>
      </c>
      <c r="Z106" s="53">
        <f t="shared" si="3"/>
        <v>6</v>
      </c>
      <c r="AA106" s="51" t="str">
        <f>IFERROR(Recipes2[[#This Row],[Selected Component]], "")</f>
        <v/>
      </c>
      <c r="AB106" s="51" t="str">
        <f>IFERROR(Recipes2[[#This Row],[Selected Name]], "")</f>
        <v/>
      </c>
      <c r="AC106" s="52" t="str">
        <f>IFERROR(Recipes2[[#This Row],[Selected Quantity]], "")</f>
        <v/>
      </c>
    </row>
    <row r="107" spans="7:29" x14ac:dyDescent="0.25">
      <c r="U107" s="6">
        <f t="shared" si="2"/>
        <v>5</v>
      </c>
      <c r="V107" s="51" t="str">
        <f>IFERROR(Recipes[[#This Row],[Selected Name]], "")</f>
        <v/>
      </c>
      <c r="W107" s="51" t="str">
        <f>IFERROR(Recipes[[#This Row],[Selected Component]], "")</f>
        <v/>
      </c>
      <c r="X107" s="52" t="str">
        <f>IFERROR(Recipes[[#This Row],[Selected Quantity]], "")</f>
        <v/>
      </c>
      <c r="Z107" s="53">
        <f t="shared" si="3"/>
        <v>6</v>
      </c>
      <c r="AA107" s="51" t="str">
        <f>IFERROR(Recipes2[[#This Row],[Selected Component]], "")</f>
        <v/>
      </c>
      <c r="AB107" s="51" t="str">
        <f>IFERROR(Recipes2[[#This Row],[Selected Name]], "")</f>
        <v/>
      </c>
      <c r="AC107" s="52" t="str">
        <f>IFERROR(Recipes2[[#This Row],[Selected Quantity]], "")</f>
        <v/>
      </c>
    </row>
    <row r="108" spans="7:29" x14ac:dyDescent="0.25">
      <c r="U108" s="6">
        <f t="shared" si="2"/>
        <v>5</v>
      </c>
      <c r="V108" s="51" t="str">
        <f>IFERROR(Recipes[[#This Row],[Selected Name]], "")</f>
        <v/>
      </c>
      <c r="W108" s="51" t="str">
        <f>IFERROR(Recipes[[#This Row],[Selected Component]], "")</f>
        <v/>
      </c>
      <c r="X108" s="52" t="str">
        <f>IFERROR(Recipes[[#This Row],[Selected Quantity]], "")</f>
        <v/>
      </c>
      <c r="Z108" s="53">
        <f t="shared" si="3"/>
        <v>6</v>
      </c>
      <c r="AA108" s="51" t="str">
        <f>IFERROR(Recipes2[[#This Row],[Selected Component]], "")</f>
        <v/>
      </c>
      <c r="AB108" s="51" t="str">
        <f>IFERROR(Recipes2[[#This Row],[Selected Name]], "")</f>
        <v/>
      </c>
      <c r="AC108" s="52" t="str">
        <f>IFERROR(Recipes2[[#This Row],[Selected Quantity]], "")</f>
        <v/>
      </c>
    </row>
    <row r="109" spans="7:29" x14ac:dyDescent="0.25">
      <c r="U109" s="6">
        <f t="shared" si="2"/>
        <v>5</v>
      </c>
      <c r="V109" s="51" t="str">
        <f>IFERROR(Recipes[[#This Row],[Selected Name]], "")</f>
        <v/>
      </c>
      <c r="W109" s="51" t="str">
        <f>IFERROR(Recipes[[#This Row],[Selected Component]], "")</f>
        <v/>
      </c>
      <c r="X109" s="52" t="str">
        <f>IFERROR(Recipes[[#This Row],[Selected Quantity]], "")</f>
        <v/>
      </c>
      <c r="Z109" s="53">
        <f t="shared" si="3"/>
        <v>6</v>
      </c>
      <c r="AA109" s="51" t="str">
        <f>IFERROR(Recipes2[[#This Row],[Selected Component]], "")</f>
        <v/>
      </c>
      <c r="AB109" s="51" t="str">
        <f>IFERROR(Recipes2[[#This Row],[Selected Name]], "")</f>
        <v/>
      </c>
      <c r="AC109" s="52" t="str">
        <f>IFERROR(Recipes2[[#This Row],[Selected Quantity]], "")</f>
        <v/>
      </c>
    </row>
    <row r="110" spans="7:29" x14ac:dyDescent="0.25">
      <c r="U110" s="6">
        <f t="shared" si="2"/>
        <v>5</v>
      </c>
      <c r="V110" s="51" t="str">
        <f>IFERROR(Recipes[[#This Row],[Selected Name]], "")</f>
        <v/>
      </c>
      <c r="W110" s="51" t="str">
        <f>IFERROR(Recipes[[#This Row],[Selected Component]], "")</f>
        <v/>
      </c>
      <c r="X110" s="52" t="str">
        <f>IFERROR(Recipes[[#This Row],[Selected Quantity]], "")</f>
        <v/>
      </c>
      <c r="Z110" s="53">
        <f t="shared" si="3"/>
        <v>6</v>
      </c>
      <c r="AA110" s="51" t="str">
        <f>IFERROR(Recipes2[[#This Row],[Selected Component]], "")</f>
        <v/>
      </c>
      <c r="AB110" s="51" t="str">
        <f>IFERROR(Recipes2[[#This Row],[Selected Name]], "")</f>
        <v/>
      </c>
      <c r="AC110" s="52" t="str">
        <f>IFERROR(Recipes2[[#This Row],[Selected Quantity]], "")</f>
        <v/>
      </c>
    </row>
    <row r="111" spans="7:29" x14ac:dyDescent="0.25">
      <c r="U111" s="6">
        <f t="shared" si="2"/>
        <v>5</v>
      </c>
      <c r="V111" s="51" t="str">
        <f>IFERROR(Recipes[[#This Row],[Selected Name]], "")</f>
        <v/>
      </c>
      <c r="W111" s="51" t="str">
        <f>IFERROR(Recipes[[#This Row],[Selected Component]], "")</f>
        <v/>
      </c>
      <c r="X111" s="52" t="str">
        <f>IFERROR(Recipes[[#This Row],[Selected Quantity]], "")</f>
        <v/>
      </c>
      <c r="Z111" s="53">
        <f t="shared" si="3"/>
        <v>6</v>
      </c>
      <c r="AA111" s="51" t="str">
        <f>IFERROR(Recipes2[[#This Row],[Selected Component]], "")</f>
        <v/>
      </c>
      <c r="AB111" s="51" t="str">
        <f>IFERROR(Recipes2[[#This Row],[Selected Name]], "")</f>
        <v/>
      </c>
      <c r="AC111" s="52" t="str">
        <f>IFERROR(Recipes2[[#This Row],[Selected Quantity]], "")</f>
        <v/>
      </c>
    </row>
    <row r="112" spans="7:29" x14ac:dyDescent="0.25">
      <c r="U112" s="6">
        <f t="shared" si="2"/>
        <v>5</v>
      </c>
      <c r="V112" s="51" t="str">
        <f>IFERROR(Recipes[[#This Row],[Selected Name]], "")</f>
        <v/>
      </c>
      <c r="W112" s="51" t="str">
        <f>IFERROR(Recipes[[#This Row],[Selected Component]], "")</f>
        <v/>
      </c>
      <c r="X112" s="52" t="str">
        <f>IFERROR(Recipes[[#This Row],[Selected Quantity]], "")</f>
        <v/>
      </c>
      <c r="Z112" s="53">
        <f t="shared" si="3"/>
        <v>6</v>
      </c>
      <c r="AA112" s="51" t="str">
        <f>IFERROR(Recipes2[[#This Row],[Selected Component]], "")</f>
        <v/>
      </c>
      <c r="AB112" s="51" t="str">
        <f>IFERROR(Recipes2[[#This Row],[Selected Name]], "")</f>
        <v/>
      </c>
      <c r="AC112" s="52" t="str">
        <f>IFERROR(Recipes2[[#This Row],[Selected Quantity]], "")</f>
        <v/>
      </c>
    </row>
    <row r="113" spans="21:29" x14ac:dyDescent="0.25">
      <c r="U113" s="6">
        <f t="shared" si="2"/>
        <v>5</v>
      </c>
      <c r="V113" s="51" t="str">
        <f>IFERROR(Recipes[[#This Row],[Selected Name]], "")</f>
        <v/>
      </c>
      <c r="W113" s="51" t="str">
        <f>IFERROR(Recipes[[#This Row],[Selected Component]], "")</f>
        <v/>
      </c>
      <c r="X113" s="52" t="str">
        <f>IFERROR(Recipes[[#This Row],[Selected Quantity]], "")</f>
        <v/>
      </c>
      <c r="Z113" s="53">
        <f t="shared" si="3"/>
        <v>6</v>
      </c>
      <c r="AA113" s="51" t="str">
        <f>IFERROR(Recipes2[[#This Row],[Selected Component]], "")</f>
        <v/>
      </c>
      <c r="AB113" s="51" t="str">
        <f>IFERROR(Recipes2[[#This Row],[Selected Name]], "")</f>
        <v/>
      </c>
      <c r="AC113" s="52" t="str">
        <f>IFERROR(Recipes2[[#This Row],[Selected Quantity]], "")</f>
        <v/>
      </c>
    </row>
    <row r="114" spans="21:29" x14ac:dyDescent="0.25">
      <c r="U114" s="6">
        <f t="shared" si="2"/>
        <v>5</v>
      </c>
      <c r="V114" s="51" t="str">
        <f>IFERROR(Recipes[[#This Row],[Selected Name]], "")</f>
        <v/>
      </c>
      <c r="W114" s="51" t="str">
        <f>IFERROR(Recipes[[#This Row],[Selected Component]], "")</f>
        <v/>
      </c>
      <c r="X114" s="52" t="str">
        <f>IFERROR(Recipes[[#This Row],[Selected Quantity]], "")</f>
        <v/>
      </c>
      <c r="Z114" s="53">
        <f t="shared" si="3"/>
        <v>6</v>
      </c>
      <c r="AA114" s="51" t="str">
        <f>IFERROR(Recipes2[[#This Row],[Selected Component]], "")</f>
        <v/>
      </c>
      <c r="AB114" s="51" t="str">
        <f>IFERROR(Recipes2[[#This Row],[Selected Name]], "")</f>
        <v/>
      </c>
      <c r="AC114" s="52" t="str">
        <f>IFERROR(Recipes2[[#This Row],[Selected Quantity]], "")</f>
        <v/>
      </c>
    </row>
    <row r="115" spans="21:29" x14ac:dyDescent="0.25">
      <c r="U115" s="6">
        <f t="shared" si="2"/>
        <v>5</v>
      </c>
      <c r="V115" s="51" t="str">
        <f>IFERROR(Recipes[[#This Row],[Selected Name]], "")</f>
        <v/>
      </c>
      <c r="W115" s="51" t="str">
        <f>IFERROR(Recipes[[#This Row],[Selected Component]], "")</f>
        <v/>
      </c>
      <c r="X115" s="52" t="str">
        <f>IFERROR(Recipes[[#This Row],[Selected Quantity]], "")</f>
        <v/>
      </c>
      <c r="Z115" s="53">
        <f t="shared" si="3"/>
        <v>6</v>
      </c>
      <c r="AA115" s="51" t="str">
        <f>IFERROR(Recipes2[[#This Row],[Selected Component]], "")</f>
        <v/>
      </c>
      <c r="AB115" s="51" t="str">
        <f>IFERROR(Recipes2[[#This Row],[Selected Name]], "")</f>
        <v/>
      </c>
      <c r="AC115" s="52" t="str">
        <f>IFERROR(Recipes2[[#This Row],[Selected Quantity]], "")</f>
        <v/>
      </c>
    </row>
    <row r="116" spans="21:29" x14ac:dyDescent="0.25">
      <c r="U116" s="6">
        <f t="shared" si="2"/>
        <v>5</v>
      </c>
      <c r="V116" s="51" t="str">
        <f>IFERROR(Recipes[[#This Row],[Selected Name]], "")</f>
        <v/>
      </c>
      <c r="W116" s="51" t="str">
        <f>IFERROR(Recipes[[#This Row],[Selected Component]], "")</f>
        <v/>
      </c>
      <c r="X116" s="52" t="str">
        <f>IFERROR(Recipes[[#This Row],[Selected Quantity]], "")</f>
        <v/>
      </c>
      <c r="Z116" s="53">
        <f t="shared" si="3"/>
        <v>6</v>
      </c>
      <c r="AA116" s="51" t="str">
        <f>IFERROR(Recipes2[[#This Row],[Selected Component]], "")</f>
        <v/>
      </c>
      <c r="AB116" s="51" t="str">
        <f>IFERROR(Recipes2[[#This Row],[Selected Name]], "")</f>
        <v/>
      </c>
      <c r="AC116" s="52" t="str">
        <f>IFERROR(Recipes2[[#This Row],[Selected Quantity]], "")</f>
        <v/>
      </c>
    </row>
    <row r="117" spans="21:29" x14ac:dyDescent="0.25">
      <c r="U117" s="6">
        <f t="shared" si="2"/>
        <v>5</v>
      </c>
      <c r="V117" s="51" t="str">
        <f>IFERROR(Recipes[[#This Row],[Selected Name]], "")</f>
        <v/>
      </c>
      <c r="W117" s="51" t="str">
        <f>IFERROR(Recipes[[#This Row],[Selected Component]], "")</f>
        <v/>
      </c>
      <c r="X117" s="52" t="str">
        <f>IFERROR(Recipes[[#This Row],[Selected Quantity]], "")</f>
        <v/>
      </c>
      <c r="Z117" s="53">
        <f t="shared" si="3"/>
        <v>6</v>
      </c>
      <c r="AA117" s="51" t="str">
        <f>IFERROR(Recipes2[[#This Row],[Selected Component]], "")</f>
        <v/>
      </c>
      <c r="AB117" s="51" t="str">
        <f>IFERROR(Recipes2[[#This Row],[Selected Name]], "")</f>
        <v/>
      </c>
      <c r="AC117" s="52" t="str">
        <f>IFERROR(Recipes2[[#This Row],[Selected Quantity]], "")</f>
        <v/>
      </c>
    </row>
    <row r="118" spans="21:29" x14ac:dyDescent="0.25">
      <c r="U118" s="6">
        <f t="shared" si="2"/>
        <v>5</v>
      </c>
      <c r="V118" s="51" t="str">
        <f>IFERROR(Recipes[[#This Row],[Selected Name]], "")</f>
        <v/>
      </c>
      <c r="W118" s="51" t="str">
        <f>IFERROR(Recipes[[#This Row],[Selected Component]], "")</f>
        <v/>
      </c>
      <c r="X118" s="52" t="str">
        <f>IFERROR(Recipes[[#This Row],[Selected Quantity]], "")</f>
        <v/>
      </c>
      <c r="Z118" s="53">
        <f t="shared" si="3"/>
        <v>6</v>
      </c>
      <c r="AA118" s="51" t="str">
        <f>IFERROR(Recipes2[[#This Row],[Selected Component]], "")</f>
        <v/>
      </c>
      <c r="AB118" s="51" t="str">
        <f>IFERROR(Recipes2[[#This Row],[Selected Name]], "")</f>
        <v/>
      </c>
      <c r="AC118" s="52" t="str">
        <f>IFERROR(Recipes2[[#This Row],[Selected Quantity]], "")</f>
        <v/>
      </c>
    </row>
    <row r="119" spans="21:29" x14ac:dyDescent="0.25">
      <c r="U119" s="6">
        <f t="shared" si="2"/>
        <v>5</v>
      </c>
      <c r="V119" s="51" t="str">
        <f>IFERROR(Recipes[[#This Row],[Selected Name]], "")</f>
        <v/>
      </c>
      <c r="W119" s="51" t="str">
        <f>IFERROR(Recipes[[#This Row],[Selected Component]], "")</f>
        <v/>
      </c>
      <c r="X119" s="52" t="str">
        <f>IFERROR(Recipes[[#This Row],[Selected Quantity]], "")</f>
        <v/>
      </c>
      <c r="Z119" s="53">
        <f t="shared" si="3"/>
        <v>6</v>
      </c>
      <c r="AA119" s="51" t="str">
        <f>IFERROR(Recipes2[[#This Row],[Selected Component]], "")</f>
        <v/>
      </c>
      <c r="AB119" s="51" t="str">
        <f>IFERROR(Recipes2[[#This Row],[Selected Name]], "")</f>
        <v/>
      </c>
      <c r="AC119" s="52" t="str">
        <f>IFERROR(Recipes2[[#This Row],[Selected Quantity]], "")</f>
        <v/>
      </c>
    </row>
    <row r="120" spans="21:29" x14ac:dyDescent="0.25">
      <c r="U120" s="6">
        <f t="shared" si="2"/>
        <v>5</v>
      </c>
      <c r="V120" s="51" t="str">
        <f>IFERROR(Recipes[[#This Row],[Selected Name]], "")</f>
        <v/>
      </c>
      <c r="W120" s="51" t="str">
        <f>IFERROR(Recipes[[#This Row],[Selected Component]], "")</f>
        <v/>
      </c>
      <c r="X120" s="52" t="str">
        <f>IFERROR(Recipes[[#This Row],[Selected Quantity]], "")</f>
        <v/>
      </c>
      <c r="Z120" s="53">
        <f t="shared" si="3"/>
        <v>6</v>
      </c>
      <c r="AA120" s="51" t="str">
        <f>IFERROR(Recipes2[[#This Row],[Selected Component]], "")</f>
        <v/>
      </c>
      <c r="AB120" s="51" t="str">
        <f>IFERROR(Recipes2[[#This Row],[Selected Name]], "")</f>
        <v/>
      </c>
      <c r="AC120" s="52" t="str">
        <f>IFERROR(Recipes2[[#This Row],[Selected Quantity]], "")</f>
        <v/>
      </c>
    </row>
    <row r="121" spans="21:29" x14ac:dyDescent="0.25">
      <c r="U121" s="6">
        <f t="shared" si="2"/>
        <v>5</v>
      </c>
      <c r="V121" s="51" t="str">
        <f>IFERROR(Recipes[[#This Row],[Selected Name]], "")</f>
        <v/>
      </c>
      <c r="W121" s="51" t="str">
        <f>IFERROR(Recipes[[#This Row],[Selected Component]], "")</f>
        <v/>
      </c>
      <c r="X121" s="52" t="str">
        <f>IFERROR(Recipes[[#This Row],[Selected Quantity]], "")</f>
        <v/>
      </c>
      <c r="Z121" s="53">
        <f t="shared" si="3"/>
        <v>6</v>
      </c>
      <c r="AA121" s="51" t="str">
        <f>IFERROR(Recipes2[[#This Row],[Selected Component]], "")</f>
        <v/>
      </c>
      <c r="AB121" s="51" t="str">
        <f>IFERROR(Recipes2[[#This Row],[Selected Name]], "")</f>
        <v/>
      </c>
      <c r="AC121" s="52" t="str">
        <f>IFERROR(Recipes2[[#This Row],[Selected Quantity]], "")</f>
        <v/>
      </c>
    </row>
    <row r="122" spans="21:29" x14ac:dyDescent="0.25">
      <c r="U122" s="6">
        <f t="shared" si="2"/>
        <v>5</v>
      </c>
      <c r="V122" s="51" t="str">
        <f>IFERROR(Recipes[[#This Row],[Selected Name]], "")</f>
        <v/>
      </c>
      <c r="W122" s="51" t="str">
        <f>IFERROR(Recipes[[#This Row],[Selected Component]], "")</f>
        <v/>
      </c>
      <c r="X122" s="52" t="str">
        <f>IFERROR(Recipes[[#This Row],[Selected Quantity]], "")</f>
        <v/>
      </c>
      <c r="Z122" s="53">
        <f t="shared" si="3"/>
        <v>6</v>
      </c>
      <c r="AA122" s="51" t="str">
        <f>IFERROR(Recipes2[[#This Row],[Selected Component]], "")</f>
        <v/>
      </c>
      <c r="AB122" s="51" t="str">
        <f>IFERROR(Recipes2[[#This Row],[Selected Name]], "")</f>
        <v/>
      </c>
      <c r="AC122" s="52" t="str">
        <f>IFERROR(Recipes2[[#This Row],[Selected Quantity]], "")</f>
        <v/>
      </c>
    </row>
    <row r="123" spans="21:29" x14ac:dyDescent="0.25">
      <c r="U123" s="6">
        <f t="shared" si="2"/>
        <v>5</v>
      </c>
      <c r="V123" s="51" t="str">
        <f>IFERROR(Recipes[[#This Row],[Selected Name]], "")</f>
        <v/>
      </c>
      <c r="W123" s="51" t="str">
        <f>IFERROR(Recipes[[#This Row],[Selected Component]], "")</f>
        <v/>
      </c>
      <c r="X123" s="52" t="str">
        <f>IFERROR(Recipes[[#This Row],[Selected Quantity]], "")</f>
        <v/>
      </c>
      <c r="Z123" s="53">
        <f t="shared" si="3"/>
        <v>6</v>
      </c>
      <c r="AA123" s="51" t="str">
        <f>IFERROR(Recipes2[[#This Row],[Selected Component]], "")</f>
        <v/>
      </c>
      <c r="AB123" s="51" t="str">
        <f>IFERROR(Recipes2[[#This Row],[Selected Name]], "")</f>
        <v/>
      </c>
      <c r="AC123" s="52" t="str">
        <f>IFERROR(Recipes2[[#This Row],[Selected Quantity]], "")</f>
        <v/>
      </c>
    </row>
    <row r="124" spans="21:29" x14ac:dyDescent="0.25">
      <c r="U124" s="6">
        <f t="shared" si="2"/>
        <v>5</v>
      </c>
      <c r="V124" s="51" t="str">
        <f>IFERROR(Recipes[[#This Row],[Selected Name]], "")</f>
        <v/>
      </c>
      <c r="W124" s="51" t="str">
        <f>IFERROR(Recipes[[#This Row],[Selected Component]], "")</f>
        <v/>
      </c>
      <c r="X124" s="52" t="str">
        <f>IFERROR(Recipes[[#This Row],[Selected Quantity]], "")</f>
        <v/>
      </c>
      <c r="Z124" s="53">
        <f t="shared" si="3"/>
        <v>6</v>
      </c>
      <c r="AA124" s="51" t="str">
        <f>IFERROR(Recipes2[[#This Row],[Selected Component]], "")</f>
        <v/>
      </c>
      <c r="AB124" s="51" t="str">
        <f>IFERROR(Recipes2[[#This Row],[Selected Name]], "")</f>
        <v/>
      </c>
      <c r="AC124" s="52" t="str">
        <f>IFERROR(Recipes2[[#This Row],[Selected Quantity]], "")</f>
        <v/>
      </c>
    </row>
    <row r="125" spans="21:29" x14ac:dyDescent="0.25">
      <c r="U125" s="6">
        <f t="shared" si="2"/>
        <v>5</v>
      </c>
      <c r="V125" s="51" t="str">
        <f>IFERROR(Recipes[[#This Row],[Selected Name]], "")</f>
        <v/>
      </c>
      <c r="W125" s="51" t="str">
        <f>IFERROR(Recipes[[#This Row],[Selected Component]], "")</f>
        <v/>
      </c>
      <c r="X125" s="52" t="str">
        <f>IFERROR(Recipes[[#This Row],[Selected Quantity]], "")</f>
        <v/>
      </c>
      <c r="Z125" s="53">
        <f t="shared" si="3"/>
        <v>6</v>
      </c>
      <c r="AA125" s="51" t="str">
        <f>IFERROR(Recipes2[[#This Row],[Selected Component]], "")</f>
        <v/>
      </c>
      <c r="AB125" s="51" t="str">
        <f>IFERROR(Recipes2[[#This Row],[Selected Name]], "")</f>
        <v/>
      </c>
      <c r="AC125" s="52" t="str">
        <f>IFERROR(Recipes2[[#This Row],[Selected Quantity]], "")</f>
        <v/>
      </c>
    </row>
    <row r="126" spans="21:29" x14ac:dyDescent="0.25">
      <c r="U126" s="6">
        <f t="shared" si="2"/>
        <v>5</v>
      </c>
      <c r="V126" s="51" t="str">
        <f>IFERROR(Recipes[[#This Row],[Selected Name]], "")</f>
        <v/>
      </c>
      <c r="W126" s="51" t="str">
        <f>IFERROR(Recipes[[#This Row],[Selected Component]], "")</f>
        <v/>
      </c>
      <c r="X126" s="52" t="str">
        <f>IFERROR(Recipes[[#This Row],[Selected Quantity]], "")</f>
        <v/>
      </c>
      <c r="Z126" s="53">
        <f t="shared" si="3"/>
        <v>6</v>
      </c>
      <c r="AA126" s="51" t="str">
        <f>IFERROR(Recipes2[[#This Row],[Selected Component]], "")</f>
        <v/>
      </c>
      <c r="AB126" s="51" t="str">
        <f>IFERROR(Recipes2[[#This Row],[Selected Name]], "")</f>
        <v/>
      </c>
      <c r="AC126" s="52" t="str">
        <f>IFERROR(Recipes2[[#This Row],[Selected Quantity]], "")</f>
        <v/>
      </c>
    </row>
    <row r="127" spans="21:29" x14ac:dyDescent="0.25">
      <c r="U127" s="6">
        <f t="shared" si="2"/>
        <v>5</v>
      </c>
      <c r="V127" s="51" t="str">
        <f>IFERROR(Recipes[[#This Row],[Selected Name]], "")</f>
        <v/>
      </c>
      <c r="W127" s="51" t="str">
        <f>IFERROR(Recipes[[#This Row],[Selected Component]], "")</f>
        <v/>
      </c>
      <c r="X127" s="52" t="str">
        <f>IFERROR(Recipes[[#This Row],[Selected Quantity]], "")</f>
        <v/>
      </c>
      <c r="Z127" s="53">
        <f t="shared" si="3"/>
        <v>6</v>
      </c>
      <c r="AA127" s="51" t="str">
        <f>IFERROR(Recipes2[[#This Row],[Selected Component]], "")</f>
        <v/>
      </c>
      <c r="AB127" s="51" t="str">
        <f>IFERROR(Recipes2[[#This Row],[Selected Name]], "")</f>
        <v/>
      </c>
      <c r="AC127" s="52" t="str">
        <f>IFERROR(Recipes2[[#This Row],[Selected Quantity]], "")</f>
        <v/>
      </c>
    </row>
    <row r="128" spans="21:29" x14ac:dyDescent="0.25">
      <c r="U128" s="6">
        <f t="shared" si="2"/>
        <v>5</v>
      </c>
      <c r="V128" s="51" t="str">
        <f>IFERROR(Recipes[[#This Row],[Selected Name]], "")</f>
        <v/>
      </c>
      <c r="W128" s="51" t="str">
        <f>IFERROR(Recipes[[#This Row],[Selected Component]], "")</f>
        <v/>
      </c>
      <c r="X128" s="52" t="str">
        <f>IFERROR(Recipes[[#This Row],[Selected Quantity]], "")</f>
        <v/>
      </c>
      <c r="Z128" s="53">
        <f t="shared" si="3"/>
        <v>6</v>
      </c>
      <c r="AA128" s="51" t="str">
        <f>IFERROR(Recipes2[[#This Row],[Selected Component]], "")</f>
        <v/>
      </c>
      <c r="AB128" s="51" t="str">
        <f>IFERROR(Recipes2[[#This Row],[Selected Name]], "")</f>
        <v/>
      </c>
      <c r="AC128" s="52" t="str">
        <f>IFERROR(Recipes2[[#This Row],[Selected Quantity]], "")</f>
        <v/>
      </c>
    </row>
    <row r="129" spans="21:29" x14ac:dyDescent="0.25">
      <c r="U129" s="6">
        <f t="shared" si="2"/>
        <v>5</v>
      </c>
      <c r="V129" s="51" t="str">
        <f>IFERROR(Recipes[[#This Row],[Selected Name]], "")</f>
        <v/>
      </c>
      <c r="W129" s="51" t="str">
        <f>IFERROR(Recipes[[#This Row],[Selected Component]], "")</f>
        <v/>
      </c>
      <c r="X129" s="52" t="str">
        <f>IFERROR(Recipes[[#This Row],[Selected Quantity]], "")</f>
        <v/>
      </c>
      <c r="Z129" s="53">
        <f t="shared" si="3"/>
        <v>6</v>
      </c>
      <c r="AA129" s="51" t="str">
        <f>IFERROR(Recipes2[[#This Row],[Selected Component]], "")</f>
        <v/>
      </c>
      <c r="AB129" s="51" t="str">
        <f>IFERROR(Recipes2[[#This Row],[Selected Name]], "")</f>
        <v/>
      </c>
      <c r="AC129" s="52" t="str">
        <f>IFERROR(Recipes2[[#This Row],[Selected Quantity]], "")</f>
        <v/>
      </c>
    </row>
    <row r="130" spans="21:29" x14ac:dyDescent="0.25">
      <c r="U130" s="6">
        <f t="shared" ref="U130:U193" si="4">IF(V130 = V129, U129, U129 + 1)</f>
        <v>5</v>
      </c>
      <c r="V130" s="51" t="str">
        <f>IFERROR(Recipes[[#This Row],[Selected Name]], "")</f>
        <v/>
      </c>
      <c r="W130" s="51" t="str">
        <f>IFERROR(Recipes[[#This Row],[Selected Component]], "")</f>
        <v/>
      </c>
      <c r="X130" s="52" t="str">
        <f>IFERROR(Recipes[[#This Row],[Selected Quantity]], "")</f>
        <v/>
      </c>
      <c r="Z130" s="53">
        <f t="shared" ref="Z130:Z193" si="5">IF(AA130 = AA129, Z129, Z129 + 1)</f>
        <v>6</v>
      </c>
      <c r="AA130" s="51" t="str">
        <f>IFERROR(Recipes2[[#This Row],[Selected Component]], "")</f>
        <v/>
      </c>
      <c r="AB130" s="51" t="str">
        <f>IFERROR(Recipes2[[#This Row],[Selected Name]], "")</f>
        <v/>
      </c>
      <c r="AC130" s="52" t="str">
        <f>IFERROR(Recipes2[[#This Row],[Selected Quantity]], "")</f>
        <v/>
      </c>
    </row>
    <row r="131" spans="21:29" x14ac:dyDescent="0.25">
      <c r="U131" s="6">
        <f t="shared" si="4"/>
        <v>5</v>
      </c>
      <c r="V131" s="51" t="str">
        <f>IFERROR(Recipes[[#This Row],[Selected Name]], "")</f>
        <v/>
      </c>
      <c r="W131" s="51" t="str">
        <f>IFERROR(Recipes[[#This Row],[Selected Component]], "")</f>
        <v/>
      </c>
      <c r="X131" s="52" t="str">
        <f>IFERROR(Recipes[[#This Row],[Selected Quantity]], "")</f>
        <v/>
      </c>
      <c r="Z131" s="53">
        <f t="shared" si="5"/>
        <v>6</v>
      </c>
      <c r="AA131" s="51" t="str">
        <f>IFERROR(Recipes2[[#This Row],[Selected Component]], "")</f>
        <v/>
      </c>
      <c r="AB131" s="51" t="str">
        <f>IFERROR(Recipes2[[#This Row],[Selected Name]], "")</f>
        <v/>
      </c>
      <c r="AC131" s="52" t="str">
        <f>IFERROR(Recipes2[[#This Row],[Selected Quantity]], "")</f>
        <v/>
      </c>
    </row>
    <row r="132" spans="21:29" x14ac:dyDescent="0.25">
      <c r="U132" s="6">
        <f t="shared" si="4"/>
        <v>5</v>
      </c>
      <c r="V132" s="51" t="str">
        <f>IFERROR(Recipes[[#This Row],[Selected Name]], "")</f>
        <v/>
      </c>
      <c r="W132" s="51" t="str">
        <f>IFERROR(Recipes[[#This Row],[Selected Component]], "")</f>
        <v/>
      </c>
      <c r="X132" s="52" t="str">
        <f>IFERROR(Recipes[[#This Row],[Selected Quantity]], "")</f>
        <v/>
      </c>
      <c r="Z132" s="53">
        <f t="shared" si="5"/>
        <v>6</v>
      </c>
      <c r="AA132" s="51" t="str">
        <f>IFERROR(Recipes2[[#This Row],[Selected Component]], "")</f>
        <v/>
      </c>
      <c r="AB132" s="51" t="str">
        <f>IFERROR(Recipes2[[#This Row],[Selected Name]], "")</f>
        <v/>
      </c>
      <c r="AC132" s="52" t="str">
        <f>IFERROR(Recipes2[[#This Row],[Selected Quantity]], "")</f>
        <v/>
      </c>
    </row>
    <row r="133" spans="21:29" x14ac:dyDescent="0.25">
      <c r="U133" s="6">
        <f t="shared" si="4"/>
        <v>5</v>
      </c>
      <c r="V133" s="51" t="str">
        <f>IFERROR(Recipes[[#This Row],[Selected Name]], "")</f>
        <v/>
      </c>
      <c r="W133" s="51" t="str">
        <f>IFERROR(Recipes[[#This Row],[Selected Component]], "")</f>
        <v/>
      </c>
      <c r="X133" s="52" t="str">
        <f>IFERROR(Recipes[[#This Row],[Selected Quantity]], "")</f>
        <v/>
      </c>
      <c r="Z133" s="53">
        <f t="shared" si="5"/>
        <v>6</v>
      </c>
      <c r="AA133" s="51" t="str">
        <f>IFERROR(Recipes2[[#This Row],[Selected Component]], "")</f>
        <v/>
      </c>
      <c r="AB133" s="51" t="str">
        <f>IFERROR(Recipes2[[#This Row],[Selected Name]], "")</f>
        <v/>
      </c>
      <c r="AC133" s="52" t="str">
        <f>IFERROR(Recipes2[[#This Row],[Selected Quantity]], "")</f>
        <v/>
      </c>
    </row>
    <row r="134" spans="21:29" x14ac:dyDescent="0.25">
      <c r="U134" s="6">
        <f t="shared" si="4"/>
        <v>5</v>
      </c>
      <c r="V134" s="51" t="str">
        <f>IFERROR(Recipes[[#This Row],[Selected Name]], "")</f>
        <v/>
      </c>
      <c r="W134" s="51" t="str">
        <f>IFERROR(Recipes[[#This Row],[Selected Component]], "")</f>
        <v/>
      </c>
      <c r="X134" s="52" t="str">
        <f>IFERROR(Recipes[[#This Row],[Selected Quantity]], "")</f>
        <v/>
      </c>
      <c r="Z134" s="53">
        <f t="shared" si="5"/>
        <v>6</v>
      </c>
      <c r="AA134" s="51" t="str">
        <f>IFERROR(Recipes2[[#This Row],[Selected Component]], "")</f>
        <v/>
      </c>
      <c r="AB134" s="51" t="str">
        <f>IFERROR(Recipes2[[#This Row],[Selected Name]], "")</f>
        <v/>
      </c>
      <c r="AC134" s="52" t="str">
        <f>IFERROR(Recipes2[[#This Row],[Selected Quantity]], "")</f>
        <v/>
      </c>
    </row>
    <row r="135" spans="21:29" x14ac:dyDescent="0.25">
      <c r="U135" s="6">
        <f t="shared" si="4"/>
        <v>5</v>
      </c>
      <c r="V135" s="51" t="str">
        <f>IFERROR(Recipes[[#This Row],[Selected Name]], "")</f>
        <v/>
      </c>
      <c r="W135" s="51" t="str">
        <f>IFERROR(Recipes[[#This Row],[Selected Component]], "")</f>
        <v/>
      </c>
      <c r="X135" s="52" t="str">
        <f>IFERROR(Recipes[[#This Row],[Selected Quantity]], "")</f>
        <v/>
      </c>
      <c r="Z135" s="53">
        <f t="shared" si="5"/>
        <v>6</v>
      </c>
      <c r="AA135" s="51" t="str">
        <f>IFERROR(Recipes2[[#This Row],[Selected Component]], "")</f>
        <v/>
      </c>
      <c r="AB135" s="51" t="str">
        <f>IFERROR(Recipes2[[#This Row],[Selected Name]], "")</f>
        <v/>
      </c>
      <c r="AC135" s="52" t="str">
        <f>IFERROR(Recipes2[[#This Row],[Selected Quantity]], "")</f>
        <v/>
      </c>
    </row>
    <row r="136" spans="21:29" x14ac:dyDescent="0.25">
      <c r="U136" s="6">
        <f t="shared" si="4"/>
        <v>5</v>
      </c>
      <c r="V136" s="51" t="str">
        <f>IFERROR(Recipes[[#This Row],[Selected Name]], "")</f>
        <v/>
      </c>
      <c r="W136" s="51" t="str">
        <f>IFERROR(Recipes[[#This Row],[Selected Component]], "")</f>
        <v/>
      </c>
      <c r="X136" s="52" t="str">
        <f>IFERROR(Recipes[[#This Row],[Selected Quantity]], "")</f>
        <v/>
      </c>
      <c r="Z136" s="53">
        <f t="shared" si="5"/>
        <v>6</v>
      </c>
      <c r="AA136" s="51" t="str">
        <f>IFERROR(Recipes2[[#This Row],[Selected Component]], "")</f>
        <v/>
      </c>
      <c r="AB136" s="51" t="str">
        <f>IFERROR(Recipes2[[#This Row],[Selected Name]], "")</f>
        <v/>
      </c>
      <c r="AC136" s="52" t="str">
        <f>IFERROR(Recipes2[[#This Row],[Selected Quantity]], "")</f>
        <v/>
      </c>
    </row>
    <row r="137" spans="21:29" x14ac:dyDescent="0.25">
      <c r="U137" s="6">
        <f t="shared" si="4"/>
        <v>5</v>
      </c>
      <c r="V137" s="51" t="str">
        <f>IFERROR(Recipes[[#This Row],[Selected Name]], "")</f>
        <v/>
      </c>
      <c r="W137" s="51" t="str">
        <f>IFERROR(Recipes[[#This Row],[Selected Component]], "")</f>
        <v/>
      </c>
      <c r="X137" s="52" t="str">
        <f>IFERROR(Recipes[[#This Row],[Selected Quantity]], "")</f>
        <v/>
      </c>
      <c r="Z137" s="53">
        <f t="shared" si="5"/>
        <v>6</v>
      </c>
      <c r="AA137" s="51" t="str">
        <f>IFERROR(Recipes2[[#This Row],[Selected Component]], "")</f>
        <v/>
      </c>
      <c r="AB137" s="51" t="str">
        <f>IFERROR(Recipes2[[#This Row],[Selected Name]], "")</f>
        <v/>
      </c>
      <c r="AC137" s="52" t="str">
        <f>IFERROR(Recipes2[[#This Row],[Selected Quantity]], "")</f>
        <v/>
      </c>
    </row>
    <row r="138" spans="21:29" x14ac:dyDescent="0.25">
      <c r="U138" s="6">
        <f t="shared" si="4"/>
        <v>5</v>
      </c>
      <c r="V138" s="51" t="str">
        <f>IFERROR(Recipes[[#This Row],[Selected Name]], "")</f>
        <v/>
      </c>
      <c r="W138" s="51" t="str">
        <f>IFERROR(Recipes[[#This Row],[Selected Component]], "")</f>
        <v/>
      </c>
      <c r="X138" s="52" t="str">
        <f>IFERROR(Recipes[[#This Row],[Selected Quantity]], "")</f>
        <v/>
      </c>
      <c r="Z138" s="53">
        <f t="shared" si="5"/>
        <v>6</v>
      </c>
      <c r="AA138" s="51" t="str">
        <f>IFERROR(Recipes2[[#This Row],[Selected Component]], "")</f>
        <v/>
      </c>
      <c r="AB138" s="51" t="str">
        <f>IFERROR(Recipes2[[#This Row],[Selected Name]], "")</f>
        <v/>
      </c>
      <c r="AC138" s="52" t="str">
        <f>IFERROR(Recipes2[[#This Row],[Selected Quantity]], "")</f>
        <v/>
      </c>
    </row>
    <row r="139" spans="21:29" x14ac:dyDescent="0.25">
      <c r="U139" s="6">
        <f t="shared" si="4"/>
        <v>5</v>
      </c>
      <c r="V139" s="51" t="str">
        <f>IFERROR(Recipes[[#This Row],[Selected Name]], "")</f>
        <v/>
      </c>
      <c r="W139" s="51" t="str">
        <f>IFERROR(Recipes[[#This Row],[Selected Component]], "")</f>
        <v/>
      </c>
      <c r="X139" s="52" t="str">
        <f>IFERROR(Recipes[[#This Row],[Selected Quantity]], "")</f>
        <v/>
      </c>
      <c r="Z139" s="53">
        <f t="shared" si="5"/>
        <v>6</v>
      </c>
      <c r="AA139" s="51" t="str">
        <f>IFERROR(Recipes2[[#This Row],[Selected Component]], "")</f>
        <v/>
      </c>
      <c r="AB139" s="51" t="str">
        <f>IFERROR(Recipes2[[#This Row],[Selected Name]], "")</f>
        <v/>
      </c>
      <c r="AC139" s="52" t="str">
        <f>IFERROR(Recipes2[[#This Row],[Selected Quantity]], "")</f>
        <v/>
      </c>
    </row>
    <row r="140" spans="21:29" x14ac:dyDescent="0.25">
      <c r="U140" s="6">
        <f t="shared" si="4"/>
        <v>5</v>
      </c>
      <c r="V140" s="51" t="str">
        <f>IFERROR(Recipes[[#This Row],[Selected Name]], "")</f>
        <v/>
      </c>
      <c r="W140" s="51" t="str">
        <f>IFERROR(Recipes[[#This Row],[Selected Component]], "")</f>
        <v/>
      </c>
      <c r="X140" s="52" t="str">
        <f>IFERROR(Recipes[[#This Row],[Selected Quantity]], "")</f>
        <v/>
      </c>
      <c r="Z140" s="53">
        <f t="shared" si="5"/>
        <v>6</v>
      </c>
      <c r="AA140" s="51" t="str">
        <f>IFERROR(Recipes2[[#This Row],[Selected Component]], "")</f>
        <v/>
      </c>
      <c r="AB140" s="51" t="str">
        <f>IFERROR(Recipes2[[#This Row],[Selected Name]], "")</f>
        <v/>
      </c>
      <c r="AC140" s="52" t="str">
        <f>IFERROR(Recipes2[[#This Row],[Selected Quantity]], "")</f>
        <v/>
      </c>
    </row>
    <row r="141" spans="21:29" x14ac:dyDescent="0.25">
      <c r="U141" s="6">
        <f t="shared" si="4"/>
        <v>5</v>
      </c>
      <c r="V141" s="51" t="str">
        <f>IFERROR(Recipes[[#This Row],[Selected Name]], "")</f>
        <v/>
      </c>
      <c r="W141" s="51" t="str">
        <f>IFERROR(Recipes[[#This Row],[Selected Component]], "")</f>
        <v/>
      </c>
      <c r="X141" s="52" t="str">
        <f>IFERROR(Recipes[[#This Row],[Selected Quantity]], "")</f>
        <v/>
      </c>
      <c r="Z141" s="53">
        <f t="shared" si="5"/>
        <v>6</v>
      </c>
      <c r="AA141" s="51" t="str">
        <f>IFERROR(Recipes2[[#This Row],[Selected Component]], "")</f>
        <v/>
      </c>
      <c r="AB141" s="51" t="str">
        <f>IFERROR(Recipes2[[#This Row],[Selected Name]], "")</f>
        <v/>
      </c>
      <c r="AC141" s="52" t="str">
        <f>IFERROR(Recipes2[[#This Row],[Selected Quantity]], "")</f>
        <v/>
      </c>
    </row>
    <row r="142" spans="21:29" x14ac:dyDescent="0.25">
      <c r="U142" s="6">
        <f t="shared" si="4"/>
        <v>5</v>
      </c>
      <c r="V142" s="51" t="str">
        <f>IFERROR(Recipes[[#This Row],[Selected Name]], "")</f>
        <v/>
      </c>
      <c r="W142" s="51" t="str">
        <f>IFERROR(Recipes[[#This Row],[Selected Component]], "")</f>
        <v/>
      </c>
      <c r="X142" s="52" t="str">
        <f>IFERROR(Recipes[[#This Row],[Selected Quantity]], "")</f>
        <v/>
      </c>
      <c r="Z142" s="53">
        <f t="shared" si="5"/>
        <v>6</v>
      </c>
      <c r="AA142" s="51" t="str">
        <f>IFERROR(Recipes2[[#This Row],[Selected Component]], "")</f>
        <v/>
      </c>
      <c r="AB142" s="51" t="str">
        <f>IFERROR(Recipes2[[#This Row],[Selected Name]], "")</f>
        <v/>
      </c>
      <c r="AC142" s="52" t="str">
        <f>IFERROR(Recipes2[[#This Row],[Selected Quantity]], "")</f>
        <v/>
      </c>
    </row>
    <row r="143" spans="21:29" x14ac:dyDescent="0.25">
      <c r="U143" s="6">
        <f t="shared" si="4"/>
        <v>5</v>
      </c>
      <c r="V143" s="51" t="str">
        <f>IFERROR(Recipes[[#This Row],[Selected Name]], "")</f>
        <v/>
      </c>
      <c r="W143" s="51" t="str">
        <f>IFERROR(Recipes[[#This Row],[Selected Component]], "")</f>
        <v/>
      </c>
      <c r="X143" s="52" t="str">
        <f>IFERROR(Recipes[[#This Row],[Selected Quantity]], "")</f>
        <v/>
      </c>
      <c r="Z143" s="53">
        <f t="shared" si="5"/>
        <v>6</v>
      </c>
      <c r="AA143" s="51" t="str">
        <f>IFERROR(Recipes2[[#This Row],[Selected Component]], "")</f>
        <v/>
      </c>
      <c r="AB143" s="51" t="str">
        <f>IFERROR(Recipes2[[#This Row],[Selected Name]], "")</f>
        <v/>
      </c>
      <c r="AC143" s="52" t="str">
        <f>IFERROR(Recipes2[[#This Row],[Selected Quantity]], "")</f>
        <v/>
      </c>
    </row>
    <row r="144" spans="21:29" x14ac:dyDescent="0.25">
      <c r="U144" s="6">
        <f t="shared" si="4"/>
        <v>5</v>
      </c>
      <c r="V144" s="51" t="str">
        <f>IFERROR(Recipes[[#This Row],[Selected Name]], "")</f>
        <v/>
      </c>
      <c r="W144" s="51" t="str">
        <f>IFERROR(Recipes[[#This Row],[Selected Component]], "")</f>
        <v/>
      </c>
      <c r="X144" s="52" t="str">
        <f>IFERROR(Recipes[[#This Row],[Selected Quantity]], "")</f>
        <v/>
      </c>
      <c r="Z144" s="53">
        <f t="shared" si="5"/>
        <v>6</v>
      </c>
      <c r="AA144" s="51" t="str">
        <f>IFERROR(Recipes2[[#This Row],[Selected Component]], "")</f>
        <v/>
      </c>
      <c r="AB144" s="51" t="str">
        <f>IFERROR(Recipes2[[#This Row],[Selected Name]], "")</f>
        <v/>
      </c>
      <c r="AC144" s="52" t="str">
        <f>IFERROR(Recipes2[[#This Row],[Selected Quantity]], "")</f>
        <v/>
      </c>
    </row>
    <row r="145" spans="21:29" x14ac:dyDescent="0.25">
      <c r="U145" s="6">
        <f t="shared" si="4"/>
        <v>5</v>
      </c>
      <c r="V145" s="51" t="str">
        <f>IFERROR(Recipes[[#This Row],[Selected Name]], "")</f>
        <v/>
      </c>
      <c r="W145" s="51" t="str">
        <f>IFERROR(Recipes[[#This Row],[Selected Component]], "")</f>
        <v/>
      </c>
      <c r="X145" s="52" t="str">
        <f>IFERROR(Recipes[[#This Row],[Selected Quantity]], "")</f>
        <v/>
      </c>
      <c r="Z145" s="53">
        <f t="shared" si="5"/>
        <v>6</v>
      </c>
      <c r="AA145" s="51" t="str">
        <f>IFERROR(Recipes2[[#This Row],[Selected Component]], "")</f>
        <v/>
      </c>
      <c r="AB145" s="51" t="str">
        <f>IFERROR(Recipes2[[#This Row],[Selected Name]], "")</f>
        <v/>
      </c>
      <c r="AC145" s="52" t="str">
        <f>IFERROR(Recipes2[[#This Row],[Selected Quantity]], "")</f>
        <v/>
      </c>
    </row>
    <row r="146" spans="21:29" x14ac:dyDescent="0.25">
      <c r="U146" s="6">
        <f t="shared" si="4"/>
        <v>5</v>
      </c>
      <c r="V146" s="51" t="str">
        <f>IFERROR(Recipes[[#This Row],[Selected Name]], "")</f>
        <v/>
      </c>
      <c r="W146" s="51" t="str">
        <f>IFERROR(Recipes[[#This Row],[Selected Component]], "")</f>
        <v/>
      </c>
      <c r="X146" s="52" t="str">
        <f>IFERROR(Recipes[[#This Row],[Selected Quantity]], "")</f>
        <v/>
      </c>
      <c r="Z146" s="53">
        <f t="shared" si="5"/>
        <v>6</v>
      </c>
      <c r="AA146" s="51" t="str">
        <f>IFERROR(Recipes2[[#This Row],[Selected Component]], "")</f>
        <v/>
      </c>
      <c r="AB146" s="51" t="str">
        <f>IFERROR(Recipes2[[#This Row],[Selected Name]], "")</f>
        <v/>
      </c>
      <c r="AC146" s="52" t="str">
        <f>IFERROR(Recipes2[[#This Row],[Selected Quantity]], "")</f>
        <v/>
      </c>
    </row>
    <row r="147" spans="21:29" x14ac:dyDescent="0.25">
      <c r="U147" s="6">
        <f t="shared" si="4"/>
        <v>5</v>
      </c>
      <c r="V147" s="51" t="str">
        <f>IFERROR(Recipes[[#This Row],[Selected Name]], "")</f>
        <v/>
      </c>
      <c r="W147" s="51" t="str">
        <f>IFERROR(Recipes[[#This Row],[Selected Component]], "")</f>
        <v/>
      </c>
      <c r="X147" s="52" t="str">
        <f>IFERROR(Recipes[[#This Row],[Selected Quantity]], "")</f>
        <v/>
      </c>
      <c r="Z147" s="53">
        <f t="shared" si="5"/>
        <v>6</v>
      </c>
      <c r="AA147" s="51" t="str">
        <f>IFERROR(Recipes2[[#This Row],[Selected Component]], "")</f>
        <v/>
      </c>
      <c r="AB147" s="51" t="str">
        <f>IFERROR(Recipes2[[#This Row],[Selected Name]], "")</f>
        <v/>
      </c>
      <c r="AC147" s="52" t="str">
        <f>IFERROR(Recipes2[[#This Row],[Selected Quantity]], "")</f>
        <v/>
      </c>
    </row>
    <row r="148" spans="21:29" x14ac:dyDescent="0.25">
      <c r="U148" s="6">
        <f t="shared" si="4"/>
        <v>5</v>
      </c>
      <c r="V148" s="51" t="str">
        <f>IFERROR(Recipes[[#This Row],[Selected Name]], "")</f>
        <v/>
      </c>
      <c r="W148" s="51" t="str">
        <f>IFERROR(Recipes[[#This Row],[Selected Component]], "")</f>
        <v/>
      </c>
      <c r="X148" s="52" t="str">
        <f>IFERROR(Recipes[[#This Row],[Selected Quantity]], "")</f>
        <v/>
      </c>
      <c r="Z148" s="53">
        <f t="shared" si="5"/>
        <v>6</v>
      </c>
      <c r="AA148" s="51" t="str">
        <f>IFERROR(Recipes2[[#This Row],[Selected Component]], "")</f>
        <v/>
      </c>
      <c r="AB148" s="51" t="str">
        <f>IFERROR(Recipes2[[#This Row],[Selected Name]], "")</f>
        <v/>
      </c>
      <c r="AC148" s="52" t="str">
        <f>IFERROR(Recipes2[[#This Row],[Selected Quantity]], "")</f>
        <v/>
      </c>
    </row>
    <row r="149" spans="21:29" x14ac:dyDescent="0.25">
      <c r="U149" s="6">
        <f t="shared" si="4"/>
        <v>5</v>
      </c>
      <c r="V149" s="51" t="str">
        <f>IFERROR(Recipes[[#This Row],[Selected Name]], "")</f>
        <v/>
      </c>
      <c r="W149" s="51" t="str">
        <f>IFERROR(Recipes[[#This Row],[Selected Component]], "")</f>
        <v/>
      </c>
      <c r="X149" s="52" t="str">
        <f>IFERROR(Recipes[[#This Row],[Selected Quantity]], "")</f>
        <v/>
      </c>
      <c r="Z149" s="53">
        <f t="shared" si="5"/>
        <v>6</v>
      </c>
      <c r="AA149" s="51" t="str">
        <f>IFERROR(Recipes2[[#This Row],[Selected Component]], "")</f>
        <v/>
      </c>
      <c r="AB149" s="51" t="str">
        <f>IFERROR(Recipes2[[#This Row],[Selected Name]], "")</f>
        <v/>
      </c>
      <c r="AC149" s="52" t="str">
        <f>IFERROR(Recipes2[[#This Row],[Selected Quantity]], "")</f>
        <v/>
      </c>
    </row>
    <row r="150" spans="21:29" x14ac:dyDescent="0.25">
      <c r="U150" s="6">
        <f t="shared" si="4"/>
        <v>5</v>
      </c>
      <c r="V150" s="51" t="str">
        <f>IFERROR(Recipes[[#This Row],[Selected Name]], "")</f>
        <v/>
      </c>
      <c r="W150" s="51" t="str">
        <f>IFERROR(Recipes[[#This Row],[Selected Component]], "")</f>
        <v/>
      </c>
      <c r="X150" s="52" t="str">
        <f>IFERROR(Recipes[[#This Row],[Selected Quantity]], "")</f>
        <v/>
      </c>
      <c r="Z150" s="53">
        <f t="shared" si="5"/>
        <v>6</v>
      </c>
      <c r="AA150" s="51" t="str">
        <f>IFERROR(Recipes2[[#This Row],[Selected Component]], "")</f>
        <v/>
      </c>
      <c r="AB150" s="51" t="str">
        <f>IFERROR(Recipes2[[#This Row],[Selected Name]], "")</f>
        <v/>
      </c>
      <c r="AC150" s="52" t="str">
        <f>IFERROR(Recipes2[[#This Row],[Selected Quantity]], "")</f>
        <v/>
      </c>
    </row>
    <row r="151" spans="21:29" x14ac:dyDescent="0.25">
      <c r="U151" s="6">
        <f t="shared" si="4"/>
        <v>5</v>
      </c>
      <c r="V151" s="51" t="str">
        <f>IFERROR(Recipes[[#This Row],[Selected Name]], "")</f>
        <v/>
      </c>
      <c r="W151" s="51" t="str">
        <f>IFERROR(Recipes[[#This Row],[Selected Component]], "")</f>
        <v/>
      </c>
      <c r="X151" s="52" t="str">
        <f>IFERROR(Recipes[[#This Row],[Selected Quantity]], "")</f>
        <v/>
      </c>
      <c r="Z151" s="53">
        <f t="shared" si="5"/>
        <v>6</v>
      </c>
      <c r="AA151" s="51" t="str">
        <f>IFERROR(Recipes2[[#This Row],[Selected Component]], "")</f>
        <v/>
      </c>
      <c r="AB151" s="51" t="str">
        <f>IFERROR(Recipes2[[#This Row],[Selected Name]], "")</f>
        <v/>
      </c>
      <c r="AC151" s="52" t="str">
        <f>IFERROR(Recipes2[[#This Row],[Selected Quantity]], "")</f>
        <v/>
      </c>
    </row>
    <row r="152" spans="21:29" x14ac:dyDescent="0.25">
      <c r="U152" s="6">
        <f t="shared" si="4"/>
        <v>5</v>
      </c>
      <c r="V152" s="51" t="str">
        <f>IFERROR(Recipes[[#This Row],[Selected Name]], "")</f>
        <v/>
      </c>
      <c r="W152" s="51" t="str">
        <f>IFERROR(Recipes[[#This Row],[Selected Component]], "")</f>
        <v/>
      </c>
      <c r="X152" s="52" t="str">
        <f>IFERROR(Recipes[[#This Row],[Selected Quantity]], "")</f>
        <v/>
      </c>
      <c r="Z152" s="53">
        <f t="shared" si="5"/>
        <v>6</v>
      </c>
      <c r="AA152" s="51" t="str">
        <f>IFERROR(Recipes2[[#This Row],[Selected Component]], "")</f>
        <v/>
      </c>
      <c r="AB152" s="51" t="str">
        <f>IFERROR(Recipes2[[#This Row],[Selected Name]], "")</f>
        <v/>
      </c>
      <c r="AC152" s="52" t="str">
        <f>IFERROR(Recipes2[[#This Row],[Selected Quantity]], "")</f>
        <v/>
      </c>
    </row>
    <row r="153" spans="21:29" x14ac:dyDescent="0.25">
      <c r="U153" s="6">
        <f t="shared" si="4"/>
        <v>5</v>
      </c>
      <c r="V153" s="51" t="str">
        <f>IFERROR(Recipes[[#This Row],[Selected Name]], "")</f>
        <v/>
      </c>
      <c r="W153" s="51" t="str">
        <f>IFERROR(Recipes[[#This Row],[Selected Component]], "")</f>
        <v/>
      </c>
      <c r="X153" s="52" t="str">
        <f>IFERROR(Recipes[[#This Row],[Selected Quantity]], "")</f>
        <v/>
      </c>
      <c r="Z153" s="53">
        <f t="shared" si="5"/>
        <v>6</v>
      </c>
      <c r="AA153" s="51" t="str">
        <f>IFERROR(Recipes2[[#This Row],[Selected Component]], "")</f>
        <v/>
      </c>
      <c r="AB153" s="51" t="str">
        <f>IFERROR(Recipes2[[#This Row],[Selected Name]], "")</f>
        <v/>
      </c>
      <c r="AC153" s="52" t="str">
        <f>IFERROR(Recipes2[[#This Row],[Selected Quantity]], "")</f>
        <v/>
      </c>
    </row>
    <row r="154" spans="21:29" x14ac:dyDescent="0.25">
      <c r="U154" s="6">
        <f t="shared" si="4"/>
        <v>5</v>
      </c>
      <c r="V154" s="51" t="str">
        <f>IFERROR(Recipes[[#This Row],[Selected Name]], "")</f>
        <v/>
      </c>
      <c r="W154" s="51" t="str">
        <f>IFERROR(Recipes[[#This Row],[Selected Component]], "")</f>
        <v/>
      </c>
      <c r="X154" s="52" t="str">
        <f>IFERROR(Recipes[[#This Row],[Selected Quantity]], "")</f>
        <v/>
      </c>
      <c r="Z154" s="53">
        <f t="shared" si="5"/>
        <v>6</v>
      </c>
      <c r="AA154" s="51" t="str">
        <f>IFERROR(Recipes2[[#This Row],[Selected Component]], "")</f>
        <v/>
      </c>
      <c r="AB154" s="51" t="str">
        <f>IFERROR(Recipes2[[#This Row],[Selected Name]], "")</f>
        <v/>
      </c>
      <c r="AC154" s="52" t="str">
        <f>IFERROR(Recipes2[[#This Row],[Selected Quantity]], "")</f>
        <v/>
      </c>
    </row>
    <row r="155" spans="21:29" x14ac:dyDescent="0.25">
      <c r="U155" s="6">
        <f t="shared" si="4"/>
        <v>5</v>
      </c>
      <c r="V155" s="51" t="str">
        <f>IFERROR(Recipes[[#This Row],[Selected Name]], "")</f>
        <v/>
      </c>
      <c r="W155" s="51" t="str">
        <f>IFERROR(Recipes[[#This Row],[Selected Component]], "")</f>
        <v/>
      </c>
      <c r="X155" s="52" t="str">
        <f>IFERROR(Recipes[[#This Row],[Selected Quantity]], "")</f>
        <v/>
      </c>
      <c r="Z155" s="53">
        <f t="shared" si="5"/>
        <v>6</v>
      </c>
      <c r="AA155" s="51" t="str">
        <f>IFERROR(Recipes2[[#This Row],[Selected Component]], "")</f>
        <v/>
      </c>
      <c r="AB155" s="51" t="str">
        <f>IFERROR(Recipes2[[#This Row],[Selected Name]], "")</f>
        <v/>
      </c>
      <c r="AC155" s="52" t="str">
        <f>IFERROR(Recipes2[[#This Row],[Selected Quantity]], "")</f>
        <v/>
      </c>
    </row>
    <row r="156" spans="21:29" x14ac:dyDescent="0.25">
      <c r="U156" s="6">
        <f t="shared" si="4"/>
        <v>5</v>
      </c>
      <c r="V156" s="51" t="str">
        <f>IFERROR(Recipes[[#This Row],[Selected Name]], "")</f>
        <v/>
      </c>
      <c r="W156" s="51" t="str">
        <f>IFERROR(Recipes[[#This Row],[Selected Component]], "")</f>
        <v/>
      </c>
      <c r="X156" s="52" t="str">
        <f>IFERROR(Recipes[[#This Row],[Selected Quantity]], "")</f>
        <v/>
      </c>
      <c r="Z156" s="53">
        <f t="shared" si="5"/>
        <v>6</v>
      </c>
      <c r="AA156" s="51" t="str">
        <f>IFERROR(Recipes2[[#This Row],[Selected Component]], "")</f>
        <v/>
      </c>
      <c r="AB156" s="51" t="str">
        <f>IFERROR(Recipes2[[#This Row],[Selected Name]], "")</f>
        <v/>
      </c>
      <c r="AC156" s="52" t="str">
        <f>IFERROR(Recipes2[[#This Row],[Selected Quantity]], "")</f>
        <v/>
      </c>
    </row>
    <row r="157" spans="21:29" x14ac:dyDescent="0.25">
      <c r="U157" s="6">
        <f t="shared" si="4"/>
        <v>5</v>
      </c>
      <c r="V157" s="51" t="str">
        <f>IFERROR(Recipes[[#This Row],[Selected Name]], "")</f>
        <v/>
      </c>
      <c r="W157" s="51" t="str">
        <f>IFERROR(Recipes[[#This Row],[Selected Component]], "")</f>
        <v/>
      </c>
      <c r="X157" s="52" t="str">
        <f>IFERROR(Recipes[[#This Row],[Selected Quantity]], "")</f>
        <v/>
      </c>
      <c r="Z157" s="53">
        <f t="shared" si="5"/>
        <v>6</v>
      </c>
      <c r="AA157" s="51" t="str">
        <f>IFERROR(Recipes2[[#This Row],[Selected Component]], "")</f>
        <v/>
      </c>
      <c r="AB157" s="51" t="str">
        <f>IFERROR(Recipes2[[#This Row],[Selected Name]], "")</f>
        <v/>
      </c>
      <c r="AC157" s="52" t="str">
        <f>IFERROR(Recipes2[[#This Row],[Selected Quantity]], "")</f>
        <v/>
      </c>
    </row>
    <row r="158" spans="21:29" x14ac:dyDescent="0.25">
      <c r="U158" s="6">
        <f t="shared" si="4"/>
        <v>5</v>
      </c>
      <c r="V158" s="51" t="str">
        <f>IFERROR(Recipes[[#This Row],[Selected Name]], "")</f>
        <v/>
      </c>
      <c r="W158" s="51" t="str">
        <f>IFERROR(Recipes[[#This Row],[Selected Component]], "")</f>
        <v/>
      </c>
      <c r="X158" s="52" t="str">
        <f>IFERROR(Recipes[[#This Row],[Selected Quantity]], "")</f>
        <v/>
      </c>
      <c r="Z158" s="53">
        <f t="shared" si="5"/>
        <v>6</v>
      </c>
      <c r="AA158" s="51" t="str">
        <f>IFERROR(Recipes2[[#This Row],[Selected Component]], "")</f>
        <v/>
      </c>
      <c r="AB158" s="51" t="str">
        <f>IFERROR(Recipes2[[#This Row],[Selected Name]], "")</f>
        <v/>
      </c>
      <c r="AC158" s="52" t="str">
        <f>IFERROR(Recipes2[[#This Row],[Selected Quantity]], "")</f>
        <v/>
      </c>
    </row>
    <row r="159" spans="21:29" x14ac:dyDescent="0.25">
      <c r="U159" s="6">
        <f t="shared" si="4"/>
        <v>5</v>
      </c>
      <c r="V159" s="51" t="str">
        <f>IFERROR(Recipes[[#This Row],[Selected Name]], "")</f>
        <v/>
      </c>
      <c r="W159" s="51" t="str">
        <f>IFERROR(Recipes[[#This Row],[Selected Component]], "")</f>
        <v/>
      </c>
      <c r="X159" s="52" t="str">
        <f>IFERROR(Recipes[[#This Row],[Selected Quantity]], "")</f>
        <v/>
      </c>
      <c r="Z159" s="53">
        <f t="shared" si="5"/>
        <v>6</v>
      </c>
      <c r="AA159" s="51" t="str">
        <f>IFERROR(Recipes2[[#This Row],[Selected Component]], "")</f>
        <v/>
      </c>
      <c r="AB159" s="51" t="str">
        <f>IFERROR(Recipes2[[#This Row],[Selected Name]], "")</f>
        <v/>
      </c>
      <c r="AC159" s="52" t="str">
        <f>IFERROR(Recipes2[[#This Row],[Selected Quantity]], "")</f>
        <v/>
      </c>
    </row>
    <row r="160" spans="21:29" x14ac:dyDescent="0.25">
      <c r="U160" s="6">
        <f t="shared" si="4"/>
        <v>5</v>
      </c>
      <c r="V160" s="51" t="str">
        <f>IFERROR(Recipes[[#This Row],[Selected Name]], "")</f>
        <v/>
      </c>
      <c r="W160" s="51" t="str">
        <f>IFERROR(Recipes[[#This Row],[Selected Component]], "")</f>
        <v/>
      </c>
      <c r="X160" s="52" t="str">
        <f>IFERROR(Recipes[[#This Row],[Selected Quantity]], "")</f>
        <v/>
      </c>
      <c r="Z160" s="53">
        <f t="shared" si="5"/>
        <v>6</v>
      </c>
      <c r="AA160" s="51" t="str">
        <f>IFERROR(Recipes2[[#This Row],[Selected Component]], "")</f>
        <v/>
      </c>
      <c r="AB160" s="51" t="str">
        <f>IFERROR(Recipes2[[#This Row],[Selected Name]], "")</f>
        <v/>
      </c>
      <c r="AC160" s="52" t="str">
        <f>IFERROR(Recipes2[[#This Row],[Selected Quantity]], "")</f>
        <v/>
      </c>
    </row>
    <row r="161" spans="21:29" x14ac:dyDescent="0.25">
      <c r="U161" s="6">
        <f t="shared" si="4"/>
        <v>5</v>
      </c>
      <c r="V161" s="51" t="str">
        <f>IFERROR(Recipes[[#This Row],[Selected Name]], "")</f>
        <v/>
      </c>
      <c r="W161" s="51" t="str">
        <f>IFERROR(Recipes[[#This Row],[Selected Component]], "")</f>
        <v/>
      </c>
      <c r="X161" s="52" t="str">
        <f>IFERROR(Recipes[[#This Row],[Selected Quantity]], "")</f>
        <v/>
      </c>
      <c r="Z161" s="53">
        <f t="shared" si="5"/>
        <v>6</v>
      </c>
      <c r="AA161" s="51" t="str">
        <f>IFERROR(Recipes2[[#This Row],[Selected Component]], "")</f>
        <v/>
      </c>
      <c r="AB161" s="51" t="str">
        <f>IFERROR(Recipes2[[#This Row],[Selected Name]], "")</f>
        <v/>
      </c>
      <c r="AC161" s="52" t="str">
        <f>IFERROR(Recipes2[[#This Row],[Selected Quantity]], "")</f>
        <v/>
      </c>
    </row>
    <row r="162" spans="21:29" x14ac:dyDescent="0.25">
      <c r="U162" s="6">
        <f t="shared" si="4"/>
        <v>5</v>
      </c>
      <c r="V162" s="51" t="str">
        <f>IFERROR(Recipes[[#This Row],[Selected Name]], "")</f>
        <v/>
      </c>
      <c r="W162" s="51" t="str">
        <f>IFERROR(Recipes[[#This Row],[Selected Component]], "")</f>
        <v/>
      </c>
      <c r="X162" s="52" t="str">
        <f>IFERROR(Recipes[[#This Row],[Selected Quantity]], "")</f>
        <v/>
      </c>
      <c r="Z162" s="53">
        <f t="shared" si="5"/>
        <v>6</v>
      </c>
      <c r="AA162" s="51" t="str">
        <f>IFERROR(Recipes2[[#This Row],[Selected Component]], "")</f>
        <v/>
      </c>
      <c r="AB162" s="51" t="str">
        <f>IFERROR(Recipes2[[#This Row],[Selected Name]], "")</f>
        <v/>
      </c>
      <c r="AC162" s="52" t="str">
        <f>IFERROR(Recipes2[[#This Row],[Selected Quantity]], "")</f>
        <v/>
      </c>
    </row>
    <row r="163" spans="21:29" x14ac:dyDescent="0.25">
      <c r="U163" s="6">
        <f t="shared" si="4"/>
        <v>5</v>
      </c>
      <c r="V163" s="51" t="str">
        <f>IFERROR(Recipes[[#This Row],[Selected Name]], "")</f>
        <v/>
      </c>
      <c r="W163" s="51" t="str">
        <f>IFERROR(Recipes[[#This Row],[Selected Component]], "")</f>
        <v/>
      </c>
      <c r="X163" s="52" t="str">
        <f>IFERROR(Recipes[[#This Row],[Selected Quantity]], "")</f>
        <v/>
      </c>
      <c r="Z163" s="53">
        <f t="shared" si="5"/>
        <v>6</v>
      </c>
      <c r="AA163" s="51" t="str">
        <f>IFERROR(Recipes2[[#This Row],[Selected Component]], "")</f>
        <v/>
      </c>
      <c r="AB163" s="51" t="str">
        <f>IFERROR(Recipes2[[#This Row],[Selected Name]], "")</f>
        <v/>
      </c>
      <c r="AC163" s="52" t="str">
        <f>IFERROR(Recipes2[[#This Row],[Selected Quantity]], "")</f>
        <v/>
      </c>
    </row>
    <row r="164" spans="21:29" x14ac:dyDescent="0.25">
      <c r="U164" s="6">
        <f t="shared" si="4"/>
        <v>5</v>
      </c>
      <c r="V164" s="51" t="str">
        <f>IFERROR(Recipes[[#This Row],[Selected Name]], "")</f>
        <v/>
      </c>
      <c r="W164" s="51" t="str">
        <f>IFERROR(Recipes[[#This Row],[Selected Component]], "")</f>
        <v/>
      </c>
      <c r="X164" s="52" t="str">
        <f>IFERROR(Recipes[[#This Row],[Selected Quantity]], "")</f>
        <v/>
      </c>
      <c r="Z164" s="53">
        <f t="shared" si="5"/>
        <v>6</v>
      </c>
      <c r="AA164" s="51" t="str">
        <f>IFERROR(Recipes2[[#This Row],[Selected Component]], "")</f>
        <v/>
      </c>
      <c r="AB164" s="51" t="str">
        <f>IFERROR(Recipes2[[#This Row],[Selected Name]], "")</f>
        <v/>
      </c>
      <c r="AC164" s="52" t="str">
        <f>IFERROR(Recipes2[[#This Row],[Selected Quantity]], "")</f>
        <v/>
      </c>
    </row>
    <row r="165" spans="21:29" x14ac:dyDescent="0.25">
      <c r="U165" s="6">
        <f t="shared" si="4"/>
        <v>5</v>
      </c>
      <c r="V165" s="51" t="str">
        <f>IFERROR(Recipes[[#This Row],[Selected Name]], "")</f>
        <v/>
      </c>
      <c r="W165" s="51" t="str">
        <f>IFERROR(Recipes[[#This Row],[Selected Component]], "")</f>
        <v/>
      </c>
      <c r="X165" s="52" t="str">
        <f>IFERROR(Recipes[[#This Row],[Selected Quantity]], "")</f>
        <v/>
      </c>
      <c r="Z165" s="53">
        <f t="shared" si="5"/>
        <v>6</v>
      </c>
      <c r="AA165" s="51" t="str">
        <f>IFERROR(Recipes2[[#This Row],[Selected Component]], "")</f>
        <v/>
      </c>
      <c r="AB165" s="51" t="str">
        <f>IFERROR(Recipes2[[#This Row],[Selected Name]], "")</f>
        <v/>
      </c>
      <c r="AC165" s="52" t="str">
        <f>IFERROR(Recipes2[[#This Row],[Selected Quantity]], "")</f>
        <v/>
      </c>
    </row>
    <row r="166" spans="21:29" x14ac:dyDescent="0.25">
      <c r="U166" s="6">
        <f t="shared" si="4"/>
        <v>5</v>
      </c>
      <c r="V166" s="51" t="str">
        <f>IFERROR(Recipes[[#This Row],[Selected Name]], "")</f>
        <v/>
      </c>
      <c r="W166" s="51" t="str">
        <f>IFERROR(Recipes[[#This Row],[Selected Component]], "")</f>
        <v/>
      </c>
      <c r="X166" s="52" t="str">
        <f>IFERROR(Recipes[[#This Row],[Selected Quantity]], "")</f>
        <v/>
      </c>
      <c r="Z166" s="53">
        <f t="shared" si="5"/>
        <v>6</v>
      </c>
      <c r="AA166" s="51" t="str">
        <f>IFERROR(Recipes2[[#This Row],[Selected Component]], "")</f>
        <v/>
      </c>
      <c r="AB166" s="51" t="str">
        <f>IFERROR(Recipes2[[#This Row],[Selected Name]], "")</f>
        <v/>
      </c>
      <c r="AC166" s="52" t="str">
        <f>IFERROR(Recipes2[[#This Row],[Selected Quantity]], "")</f>
        <v/>
      </c>
    </row>
    <row r="167" spans="21:29" x14ac:dyDescent="0.25">
      <c r="U167" s="6">
        <f t="shared" si="4"/>
        <v>5</v>
      </c>
      <c r="V167" s="51" t="str">
        <f>IFERROR(Recipes[[#This Row],[Selected Name]], "")</f>
        <v/>
      </c>
      <c r="W167" s="51" t="str">
        <f>IFERROR(Recipes[[#This Row],[Selected Component]], "")</f>
        <v/>
      </c>
      <c r="X167" s="52" t="str">
        <f>IFERROR(Recipes[[#This Row],[Selected Quantity]], "")</f>
        <v/>
      </c>
      <c r="Z167" s="53">
        <f t="shared" si="5"/>
        <v>6</v>
      </c>
      <c r="AA167" s="51" t="str">
        <f>IFERROR(Recipes2[[#This Row],[Selected Component]], "")</f>
        <v/>
      </c>
      <c r="AB167" s="51" t="str">
        <f>IFERROR(Recipes2[[#This Row],[Selected Name]], "")</f>
        <v/>
      </c>
      <c r="AC167" s="52" t="str">
        <f>IFERROR(Recipes2[[#This Row],[Selected Quantity]], "")</f>
        <v/>
      </c>
    </row>
    <row r="168" spans="21:29" x14ac:dyDescent="0.25">
      <c r="U168" s="6">
        <f t="shared" si="4"/>
        <v>5</v>
      </c>
      <c r="V168" s="51" t="str">
        <f>IFERROR(Recipes[[#This Row],[Selected Name]], "")</f>
        <v/>
      </c>
      <c r="W168" s="51" t="str">
        <f>IFERROR(Recipes[[#This Row],[Selected Component]], "")</f>
        <v/>
      </c>
      <c r="X168" s="52" t="str">
        <f>IFERROR(Recipes[[#This Row],[Selected Quantity]], "")</f>
        <v/>
      </c>
      <c r="Z168" s="53">
        <f t="shared" si="5"/>
        <v>6</v>
      </c>
      <c r="AA168" s="51" t="str">
        <f>IFERROR(Recipes2[[#This Row],[Selected Component]], "")</f>
        <v/>
      </c>
      <c r="AB168" s="51" t="str">
        <f>IFERROR(Recipes2[[#This Row],[Selected Name]], "")</f>
        <v/>
      </c>
      <c r="AC168" s="52" t="str">
        <f>IFERROR(Recipes2[[#This Row],[Selected Quantity]], "")</f>
        <v/>
      </c>
    </row>
    <row r="169" spans="21:29" x14ac:dyDescent="0.25">
      <c r="U169" s="6">
        <f t="shared" si="4"/>
        <v>5</v>
      </c>
      <c r="V169" s="51" t="str">
        <f>IFERROR(Recipes[[#This Row],[Selected Name]], "")</f>
        <v/>
      </c>
      <c r="W169" s="51" t="str">
        <f>IFERROR(Recipes[[#This Row],[Selected Component]], "")</f>
        <v/>
      </c>
      <c r="X169" s="52" t="str">
        <f>IFERROR(Recipes[[#This Row],[Selected Quantity]], "")</f>
        <v/>
      </c>
      <c r="Z169" s="53">
        <f t="shared" si="5"/>
        <v>6</v>
      </c>
      <c r="AA169" s="51" t="str">
        <f>IFERROR(Recipes2[[#This Row],[Selected Component]], "")</f>
        <v/>
      </c>
      <c r="AB169" s="51" t="str">
        <f>IFERROR(Recipes2[[#This Row],[Selected Name]], "")</f>
        <v/>
      </c>
      <c r="AC169" s="52" t="str">
        <f>IFERROR(Recipes2[[#This Row],[Selected Quantity]], "")</f>
        <v/>
      </c>
    </row>
    <row r="170" spans="21:29" x14ac:dyDescent="0.25">
      <c r="U170" s="6">
        <f t="shared" si="4"/>
        <v>5</v>
      </c>
      <c r="V170" s="51" t="str">
        <f>IFERROR(Recipes[[#This Row],[Selected Name]], "")</f>
        <v/>
      </c>
      <c r="W170" s="51" t="str">
        <f>IFERROR(Recipes[[#This Row],[Selected Component]], "")</f>
        <v/>
      </c>
      <c r="X170" s="52" t="str">
        <f>IFERROR(Recipes[[#This Row],[Selected Quantity]], "")</f>
        <v/>
      </c>
      <c r="Z170" s="53">
        <f t="shared" si="5"/>
        <v>6</v>
      </c>
      <c r="AA170" s="51" t="str">
        <f>IFERROR(Recipes2[[#This Row],[Selected Component]], "")</f>
        <v/>
      </c>
      <c r="AB170" s="51" t="str">
        <f>IFERROR(Recipes2[[#This Row],[Selected Name]], "")</f>
        <v/>
      </c>
      <c r="AC170" s="52" t="str">
        <f>IFERROR(Recipes2[[#This Row],[Selected Quantity]], "")</f>
        <v/>
      </c>
    </row>
    <row r="171" spans="21:29" x14ac:dyDescent="0.25">
      <c r="U171" s="6">
        <f t="shared" si="4"/>
        <v>5</v>
      </c>
      <c r="V171" s="51" t="str">
        <f>IFERROR(Recipes[[#This Row],[Selected Name]], "")</f>
        <v/>
      </c>
      <c r="W171" s="51" t="str">
        <f>IFERROR(Recipes[[#This Row],[Selected Component]], "")</f>
        <v/>
      </c>
      <c r="X171" s="52" t="str">
        <f>IFERROR(Recipes[[#This Row],[Selected Quantity]], "")</f>
        <v/>
      </c>
      <c r="Z171" s="53">
        <f t="shared" si="5"/>
        <v>6</v>
      </c>
      <c r="AA171" s="51" t="str">
        <f>IFERROR(Recipes2[[#This Row],[Selected Component]], "")</f>
        <v/>
      </c>
      <c r="AB171" s="51" t="str">
        <f>IFERROR(Recipes2[[#This Row],[Selected Name]], "")</f>
        <v/>
      </c>
      <c r="AC171" s="52" t="str">
        <f>IFERROR(Recipes2[[#This Row],[Selected Quantity]], "")</f>
        <v/>
      </c>
    </row>
    <row r="172" spans="21:29" x14ac:dyDescent="0.25">
      <c r="U172" s="6">
        <f t="shared" si="4"/>
        <v>5</v>
      </c>
      <c r="V172" s="51" t="str">
        <f>IFERROR(Recipes[[#This Row],[Selected Name]], "")</f>
        <v/>
      </c>
      <c r="W172" s="51" t="str">
        <f>IFERROR(Recipes[[#This Row],[Selected Component]], "")</f>
        <v/>
      </c>
      <c r="X172" s="52" t="str">
        <f>IFERROR(Recipes[[#This Row],[Selected Quantity]], "")</f>
        <v/>
      </c>
      <c r="Z172" s="53">
        <f t="shared" si="5"/>
        <v>6</v>
      </c>
      <c r="AA172" s="51" t="str">
        <f>IFERROR(Recipes2[[#This Row],[Selected Component]], "")</f>
        <v/>
      </c>
      <c r="AB172" s="51" t="str">
        <f>IFERROR(Recipes2[[#This Row],[Selected Name]], "")</f>
        <v/>
      </c>
      <c r="AC172" s="52" t="str">
        <f>IFERROR(Recipes2[[#This Row],[Selected Quantity]], "")</f>
        <v/>
      </c>
    </row>
    <row r="173" spans="21:29" x14ac:dyDescent="0.25">
      <c r="U173" s="6">
        <f t="shared" si="4"/>
        <v>5</v>
      </c>
      <c r="V173" s="51" t="str">
        <f>IFERROR(Recipes[[#This Row],[Selected Name]], "")</f>
        <v/>
      </c>
      <c r="W173" s="51" t="str">
        <f>IFERROR(Recipes[[#This Row],[Selected Component]], "")</f>
        <v/>
      </c>
      <c r="X173" s="52" t="str">
        <f>IFERROR(Recipes[[#This Row],[Selected Quantity]], "")</f>
        <v/>
      </c>
      <c r="Z173" s="53">
        <f t="shared" si="5"/>
        <v>6</v>
      </c>
      <c r="AA173" s="51" t="str">
        <f>IFERROR(Recipes2[[#This Row],[Selected Component]], "")</f>
        <v/>
      </c>
      <c r="AB173" s="51" t="str">
        <f>IFERROR(Recipes2[[#This Row],[Selected Name]], "")</f>
        <v/>
      </c>
      <c r="AC173" s="52" t="str">
        <f>IFERROR(Recipes2[[#This Row],[Selected Quantity]], "")</f>
        <v/>
      </c>
    </row>
    <row r="174" spans="21:29" x14ac:dyDescent="0.25">
      <c r="U174" s="6">
        <f t="shared" si="4"/>
        <v>5</v>
      </c>
      <c r="V174" s="51" t="str">
        <f>IFERROR(Recipes[[#This Row],[Selected Name]], "")</f>
        <v/>
      </c>
      <c r="W174" s="51" t="str">
        <f>IFERROR(Recipes[[#This Row],[Selected Component]], "")</f>
        <v/>
      </c>
      <c r="X174" s="52" t="str">
        <f>IFERROR(Recipes[[#This Row],[Selected Quantity]], "")</f>
        <v/>
      </c>
      <c r="Z174" s="53">
        <f t="shared" si="5"/>
        <v>6</v>
      </c>
      <c r="AA174" s="51" t="str">
        <f>IFERROR(Recipes2[[#This Row],[Selected Component]], "")</f>
        <v/>
      </c>
      <c r="AB174" s="51" t="str">
        <f>IFERROR(Recipes2[[#This Row],[Selected Name]], "")</f>
        <v/>
      </c>
      <c r="AC174" s="52" t="str">
        <f>IFERROR(Recipes2[[#This Row],[Selected Quantity]], "")</f>
        <v/>
      </c>
    </row>
    <row r="175" spans="21:29" x14ac:dyDescent="0.25">
      <c r="U175" s="6">
        <f t="shared" si="4"/>
        <v>5</v>
      </c>
      <c r="V175" s="51" t="str">
        <f>IFERROR(Recipes[[#This Row],[Selected Name]], "")</f>
        <v/>
      </c>
      <c r="W175" s="51" t="str">
        <f>IFERROR(Recipes[[#This Row],[Selected Component]], "")</f>
        <v/>
      </c>
      <c r="X175" s="52" t="str">
        <f>IFERROR(Recipes[[#This Row],[Selected Quantity]], "")</f>
        <v/>
      </c>
      <c r="Z175" s="53">
        <f t="shared" si="5"/>
        <v>6</v>
      </c>
      <c r="AA175" s="51" t="str">
        <f>IFERROR(Recipes2[[#This Row],[Selected Component]], "")</f>
        <v/>
      </c>
      <c r="AB175" s="51" t="str">
        <f>IFERROR(Recipes2[[#This Row],[Selected Name]], "")</f>
        <v/>
      </c>
      <c r="AC175" s="52" t="str">
        <f>IFERROR(Recipes2[[#This Row],[Selected Quantity]], "")</f>
        <v/>
      </c>
    </row>
    <row r="176" spans="21:29" x14ac:dyDescent="0.25">
      <c r="U176" s="6">
        <f t="shared" si="4"/>
        <v>5</v>
      </c>
      <c r="V176" s="51" t="str">
        <f>IFERROR(Recipes[[#This Row],[Selected Name]], "")</f>
        <v/>
      </c>
      <c r="W176" s="51" t="str">
        <f>IFERROR(Recipes[[#This Row],[Selected Component]], "")</f>
        <v/>
      </c>
      <c r="X176" s="52" t="str">
        <f>IFERROR(Recipes[[#This Row],[Selected Quantity]], "")</f>
        <v/>
      </c>
      <c r="Z176" s="53">
        <f t="shared" si="5"/>
        <v>6</v>
      </c>
      <c r="AA176" s="51" t="str">
        <f>IFERROR(Recipes2[[#This Row],[Selected Component]], "")</f>
        <v/>
      </c>
      <c r="AB176" s="51" t="str">
        <f>IFERROR(Recipes2[[#This Row],[Selected Name]], "")</f>
        <v/>
      </c>
      <c r="AC176" s="52" t="str">
        <f>IFERROR(Recipes2[[#This Row],[Selected Quantity]], "")</f>
        <v/>
      </c>
    </row>
    <row r="177" spans="21:29" x14ac:dyDescent="0.25">
      <c r="U177" s="6">
        <f t="shared" si="4"/>
        <v>5</v>
      </c>
      <c r="V177" s="51" t="str">
        <f>IFERROR(Recipes[[#This Row],[Selected Name]], "")</f>
        <v/>
      </c>
      <c r="W177" s="51" t="str">
        <f>IFERROR(Recipes[[#This Row],[Selected Component]], "")</f>
        <v/>
      </c>
      <c r="X177" s="52" t="str">
        <f>IFERROR(Recipes[[#This Row],[Selected Quantity]], "")</f>
        <v/>
      </c>
      <c r="Z177" s="53">
        <f t="shared" si="5"/>
        <v>6</v>
      </c>
      <c r="AA177" s="51" t="str">
        <f>IFERROR(Recipes2[[#This Row],[Selected Component]], "")</f>
        <v/>
      </c>
      <c r="AB177" s="51" t="str">
        <f>IFERROR(Recipes2[[#This Row],[Selected Name]], "")</f>
        <v/>
      </c>
      <c r="AC177" s="52" t="str">
        <f>IFERROR(Recipes2[[#This Row],[Selected Quantity]], "")</f>
        <v/>
      </c>
    </row>
    <row r="178" spans="21:29" x14ac:dyDescent="0.25">
      <c r="U178" s="6">
        <f t="shared" si="4"/>
        <v>5</v>
      </c>
      <c r="V178" s="51" t="str">
        <f>IFERROR(Recipes[[#This Row],[Selected Name]], "")</f>
        <v/>
      </c>
      <c r="W178" s="51" t="str">
        <f>IFERROR(Recipes[[#This Row],[Selected Component]], "")</f>
        <v/>
      </c>
      <c r="X178" s="52" t="str">
        <f>IFERROR(Recipes[[#This Row],[Selected Quantity]], "")</f>
        <v/>
      </c>
      <c r="Z178" s="53">
        <f t="shared" si="5"/>
        <v>6</v>
      </c>
      <c r="AA178" s="51" t="str">
        <f>IFERROR(Recipes2[[#This Row],[Selected Component]], "")</f>
        <v/>
      </c>
      <c r="AB178" s="51" t="str">
        <f>IFERROR(Recipes2[[#This Row],[Selected Name]], "")</f>
        <v/>
      </c>
      <c r="AC178" s="52" t="str">
        <f>IFERROR(Recipes2[[#This Row],[Selected Quantity]], "")</f>
        <v/>
      </c>
    </row>
    <row r="179" spans="21:29" x14ac:dyDescent="0.25">
      <c r="U179" s="6">
        <f t="shared" si="4"/>
        <v>5</v>
      </c>
      <c r="V179" s="51" t="str">
        <f>IFERROR(Recipes[[#This Row],[Selected Name]], "")</f>
        <v/>
      </c>
      <c r="W179" s="51" t="str">
        <f>IFERROR(Recipes[[#This Row],[Selected Component]], "")</f>
        <v/>
      </c>
      <c r="X179" s="52" t="str">
        <f>IFERROR(Recipes[[#This Row],[Selected Quantity]], "")</f>
        <v/>
      </c>
      <c r="Z179" s="53">
        <f t="shared" si="5"/>
        <v>6</v>
      </c>
      <c r="AA179" s="51" t="str">
        <f>IFERROR(Recipes2[[#This Row],[Selected Component]], "")</f>
        <v/>
      </c>
      <c r="AB179" s="51" t="str">
        <f>IFERROR(Recipes2[[#This Row],[Selected Name]], "")</f>
        <v/>
      </c>
      <c r="AC179" s="52" t="str">
        <f>IFERROR(Recipes2[[#This Row],[Selected Quantity]], "")</f>
        <v/>
      </c>
    </row>
    <row r="180" spans="21:29" x14ac:dyDescent="0.25">
      <c r="U180" s="6">
        <f t="shared" si="4"/>
        <v>5</v>
      </c>
      <c r="V180" s="51" t="str">
        <f>IFERROR(Recipes[[#This Row],[Selected Name]], "")</f>
        <v/>
      </c>
      <c r="W180" s="51" t="str">
        <f>IFERROR(Recipes[[#This Row],[Selected Component]], "")</f>
        <v/>
      </c>
      <c r="X180" s="52" t="str">
        <f>IFERROR(Recipes[[#This Row],[Selected Quantity]], "")</f>
        <v/>
      </c>
      <c r="Z180" s="53">
        <f t="shared" si="5"/>
        <v>6</v>
      </c>
      <c r="AA180" s="51" t="str">
        <f>IFERROR(Recipes2[[#This Row],[Selected Component]], "")</f>
        <v/>
      </c>
      <c r="AB180" s="51" t="str">
        <f>IFERROR(Recipes2[[#This Row],[Selected Name]], "")</f>
        <v/>
      </c>
      <c r="AC180" s="52" t="str">
        <f>IFERROR(Recipes2[[#This Row],[Selected Quantity]], "")</f>
        <v/>
      </c>
    </row>
    <row r="181" spans="21:29" x14ac:dyDescent="0.25">
      <c r="U181" s="6">
        <f t="shared" si="4"/>
        <v>5</v>
      </c>
      <c r="V181" s="51" t="str">
        <f>IFERROR(Recipes[[#This Row],[Selected Name]], "")</f>
        <v/>
      </c>
      <c r="W181" s="51" t="str">
        <f>IFERROR(Recipes[[#This Row],[Selected Component]], "")</f>
        <v/>
      </c>
      <c r="X181" s="52" t="str">
        <f>IFERROR(Recipes[[#This Row],[Selected Quantity]], "")</f>
        <v/>
      </c>
      <c r="Z181" s="53">
        <f t="shared" si="5"/>
        <v>6</v>
      </c>
      <c r="AA181" s="51" t="str">
        <f>IFERROR(Recipes2[[#This Row],[Selected Component]], "")</f>
        <v/>
      </c>
      <c r="AB181" s="51" t="str">
        <f>IFERROR(Recipes2[[#This Row],[Selected Name]], "")</f>
        <v/>
      </c>
      <c r="AC181" s="52" t="str">
        <f>IFERROR(Recipes2[[#This Row],[Selected Quantity]], "")</f>
        <v/>
      </c>
    </row>
    <row r="182" spans="21:29" x14ac:dyDescent="0.25">
      <c r="U182" s="6">
        <f t="shared" si="4"/>
        <v>5</v>
      </c>
      <c r="V182" s="51" t="str">
        <f>IFERROR(Recipes[[#This Row],[Selected Name]], "")</f>
        <v/>
      </c>
      <c r="W182" s="51" t="str">
        <f>IFERROR(Recipes[[#This Row],[Selected Component]], "")</f>
        <v/>
      </c>
      <c r="X182" s="52" t="str">
        <f>IFERROR(Recipes[[#This Row],[Selected Quantity]], "")</f>
        <v/>
      </c>
      <c r="Z182" s="53">
        <f t="shared" si="5"/>
        <v>6</v>
      </c>
      <c r="AA182" s="51" t="str">
        <f>IFERROR(Recipes2[[#This Row],[Selected Component]], "")</f>
        <v/>
      </c>
      <c r="AB182" s="51" t="str">
        <f>IFERROR(Recipes2[[#This Row],[Selected Name]], "")</f>
        <v/>
      </c>
      <c r="AC182" s="52" t="str">
        <f>IFERROR(Recipes2[[#This Row],[Selected Quantity]], "")</f>
        <v/>
      </c>
    </row>
    <row r="183" spans="21:29" x14ac:dyDescent="0.25">
      <c r="U183" s="6">
        <f t="shared" si="4"/>
        <v>5</v>
      </c>
      <c r="V183" s="51" t="str">
        <f>IFERROR(Recipes[[#This Row],[Selected Name]], "")</f>
        <v/>
      </c>
      <c r="W183" s="51" t="str">
        <f>IFERROR(Recipes[[#This Row],[Selected Component]], "")</f>
        <v/>
      </c>
      <c r="X183" s="52" t="str">
        <f>IFERROR(Recipes[[#This Row],[Selected Quantity]], "")</f>
        <v/>
      </c>
      <c r="Z183" s="53">
        <f t="shared" si="5"/>
        <v>6</v>
      </c>
      <c r="AA183" s="51" t="str">
        <f>IFERROR(Recipes2[[#This Row],[Selected Component]], "")</f>
        <v/>
      </c>
      <c r="AB183" s="51" t="str">
        <f>IFERROR(Recipes2[[#This Row],[Selected Name]], "")</f>
        <v/>
      </c>
      <c r="AC183" s="52" t="str">
        <f>IFERROR(Recipes2[[#This Row],[Selected Quantity]], "")</f>
        <v/>
      </c>
    </row>
    <row r="184" spans="21:29" x14ac:dyDescent="0.25">
      <c r="U184" s="6">
        <f t="shared" si="4"/>
        <v>5</v>
      </c>
      <c r="V184" s="51" t="str">
        <f>IFERROR(Recipes[[#This Row],[Selected Name]], "")</f>
        <v/>
      </c>
      <c r="W184" s="51" t="str">
        <f>IFERROR(Recipes[[#This Row],[Selected Component]], "")</f>
        <v/>
      </c>
      <c r="X184" s="52" t="str">
        <f>IFERROR(Recipes[[#This Row],[Selected Quantity]], "")</f>
        <v/>
      </c>
      <c r="Z184" s="53">
        <f t="shared" si="5"/>
        <v>6</v>
      </c>
      <c r="AA184" s="51" t="str">
        <f>IFERROR(Recipes2[[#This Row],[Selected Component]], "")</f>
        <v/>
      </c>
      <c r="AB184" s="51" t="str">
        <f>IFERROR(Recipes2[[#This Row],[Selected Name]], "")</f>
        <v/>
      </c>
      <c r="AC184" s="52" t="str">
        <f>IFERROR(Recipes2[[#This Row],[Selected Quantity]], "")</f>
        <v/>
      </c>
    </row>
    <row r="185" spans="21:29" x14ac:dyDescent="0.25">
      <c r="U185" s="6">
        <f t="shared" si="4"/>
        <v>5</v>
      </c>
      <c r="V185" s="51" t="str">
        <f>IFERROR(Recipes[[#This Row],[Selected Name]], "")</f>
        <v/>
      </c>
      <c r="W185" s="51" t="str">
        <f>IFERROR(Recipes[[#This Row],[Selected Component]], "")</f>
        <v/>
      </c>
      <c r="X185" s="52" t="str">
        <f>IFERROR(Recipes[[#This Row],[Selected Quantity]], "")</f>
        <v/>
      </c>
      <c r="Z185" s="53">
        <f t="shared" si="5"/>
        <v>6</v>
      </c>
      <c r="AA185" s="51" t="str">
        <f>IFERROR(Recipes2[[#This Row],[Selected Component]], "")</f>
        <v/>
      </c>
      <c r="AB185" s="51" t="str">
        <f>IFERROR(Recipes2[[#This Row],[Selected Name]], "")</f>
        <v/>
      </c>
      <c r="AC185" s="52" t="str">
        <f>IFERROR(Recipes2[[#This Row],[Selected Quantity]], "")</f>
        <v/>
      </c>
    </row>
    <row r="186" spans="21:29" x14ac:dyDescent="0.25">
      <c r="U186" s="6">
        <f t="shared" si="4"/>
        <v>5</v>
      </c>
      <c r="V186" s="51" t="str">
        <f>IFERROR(Recipes[[#This Row],[Selected Name]], "")</f>
        <v/>
      </c>
      <c r="W186" s="51" t="str">
        <f>IFERROR(Recipes[[#This Row],[Selected Component]], "")</f>
        <v/>
      </c>
      <c r="X186" s="52" t="str">
        <f>IFERROR(Recipes[[#This Row],[Selected Quantity]], "")</f>
        <v/>
      </c>
      <c r="Z186" s="53">
        <f t="shared" si="5"/>
        <v>6</v>
      </c>
      <c r="AA186" s="51" t="str">
        <f>IFERROR(Recipes2[[#This Row],[Selected Component]], "")</f>
        <v/>
      </c>
      <c r="AB186" s="51" t="str">
        <f>IFERROR(Recipes2[[#This Row],[Selected Name]], "")</f>
        <v/>
      </c>
      <c r="AC186" s="52" t="str">
        <f>IFERROR(Recipes2[[#This Row],[Selected Quantity]], "")</f>
        <v/>
      </c>
    </row>
    <row r="187" spans="21:29" x14ac:dyDescent="0.25">
      <c r="U187" s="6">
        <f t="shared" si="4"/>
        <v>5</v>
      </c>
      <c r="V187" s="51" t="str">
        <f>IFERROR(Recipes[[#This Row],[Selected Name]], "")</f>
        <v/>
      </c>
      <c r="W187" s="51" t="str">
        <f>IFERROR(Recipes[[#This Row],[Selected Component]], "")</f>
        <v/>
      </c>
      <c r="X187" s="52" t="str">
        <f>IFERROR(Recipes[[#This Row],[Selected Quantity]], "")</f>
        <v/>
      </c>
      <c r="Z187" s="53">
        <f t="shared" si="5"/>
        <v>6</v>
      </c>
      <c r="AA187" s="51" t="str">
        <f>IFERROR(Recipes2[[#This Row],[Selected Component]], "")</f>
        <v/>
      </c>
      <c r="AB187" s="51" t="str">
        <f>IFERROR(Recipes2[[#This Row],[Selected Name]], "")</f>
        <v/>
      </c>
      <c r="AC187" s="52" t="str">
        <f>IFERROR(Recipes2[[#This Row],[Selected Quantity]], "")</f>
        <v/>
      </c>
    </row>
    <row r="188" spans="21:29" x14ac:dyDescent="0.25">
      <c r="U188" s="6">
        <f t="shared" si="4"/>
        <v>5</v>
      </c>
      <c r="V188" s="51" t="str">
        <f>IFERROR(Recipes[[#This Row],[Selected Name]], "")</f>
        <v/>
      </c>
      <c r="W188" s="51" t="str">
        <f>IFERROR(Recipes[[#This Row],[Selected Component]], "")</f>
        <v/>
      </c>
      <c r="X188" s="52" t="str">
        <f>IFERROR(Recipes[[#This Row],[Selected Quantity]], "")</f>
        <v/>
      </c>
      <c r="Z188" s="53">
        <f t="shared" si="5"/>
        <v>6</v>
      </c>
      <c r="AA188" s="51" t="str">
        <f>IFERROR(Recipes2[[#This Row],[Selected Component]], "")</f>
        <v/>
      </c>
      <c r="AB188" s="51" t="str">
        <f>IFERROR(Recipes2[[#This Row],[Selected Name]], "")</f>
        <v/>
      </c>
      <c r="AC188" s="52" t="str">
        <f>IFERROR(Recipes2[[#This Row],[Selected Quantity]], "")</f>
        <v/>
      </c>
    </row>
    <row r="189" spans="21:29" x14ac:dyDescent="0.25">
      <c r="U189" s="6">
        <f t="shared" si="4"/>
        <v>5</v>
      </c>
      <c r="V189" s="51" t="str">
        <f>IFERROR(Recipes[[#This Row],[Selected Name]], "")</f>
        <v/>
      </c>
      <c r="W189" s="51" t="str">
        <f>IFERROR(Recipes[[#This Row],[Selected Component]], "")</f>
        <v/>
      </c>
      <c r="X189" s="52" t="str">
        <f>IFERROR(Recipes[[#This Row],[Selected Quantity]], "")</f>
        <v/>
      </c>
      <c r="Z189" s="53">
        <f t="shared" si="5"/>
        <v>6</v>
      </c>
      <c r="AA189" s="51" t="str">
        <f>IFERROR(Recipes2[[#This Row],[Selected Component]], "")</f>
        <v/>
      </c>
      <c r="AB189" s="51" t="str">
        <f>IFERROR(Recipes2[[#This Row],[Selected Name]], "")</f>
        <v/>
      </c>
      <c r="AC189" s="52" t="str">
        <f>IFERROR(Recipes2[[#This Row],[Selected Quantity]], "")</f>
        <v/>
      </c>
    </row>
    <row r="190" spans="21:29" x14ac:dyDescent="0.25">
      <c r="U190" s="6">
        <f t="shared" si="4"/>
        <v>5</v>
      </c>
      <c r="V190" s="51" t="str">
        <f>IFERROR(Recipes[[#This Row],[Selected Name]], "")</f>
        <v/>
      </c>
      <c r="W190" s="51" t="str">
        <f>IFERROR(Recipes[[#This Row],[Selected Component]], "")</f>
        <v/>
      </c>
      <c r="X190" s="52" t="str">
        <f>IFERROR(Recipes[[#This Row],[Selected Quantity]], "")</f>
        <v/>
      </c>
      <c r="Z190" s="53">
        <f t="shared" si="5"/>
        <v>6</v>
      </c>
      <c r="AA190" s="51" t="str">
        <f>IFERROR(Recipes2[[#This Row],[Selected Component]], "")</f>
        <v/>
      </c>
      <c r="AB190" s="51" t="str">
        <f>IFERROR(Recipes2[[#This Row],[Selected Name]], "")</f>
        <v/>
      </c>
      <c r="AC190" s="52" t="str">
        <f>IFERROR(Recipes2[[#This Row],[Selected Quantity]], "")</f>
        <v/>
      </c>
    </row>
    <row r="191" spans="21:29" x14ac:dyDescent="0.25">
      <c r="U191" s="6">
        <f t="shared" si="4"/>
        <v>5</v>
      </c>
      <c r="V191" s="51" t="str">
        <f>IFERROR(Recipes[[#This Row],[Selected Name]], "")</f>
        <v/>
      </c>
      <c r="W191" s="51" t="str">
        <f>IFERROR(Recipes[[#This Row],[Selected Component]], "")</f>
        <v/>
      </c>
      <c r="X191" s="52" t="str">
        <f>IFERROR(Recipes[[#This Row],[Selected Quantity]], "")</f>
        <v/>
      </c>
      <c r="Z191" s="53">
        <f t="shared" si="5"/>
        <v>6</v>
      </c>
      <c r="AA191" s="51" t="str">
        <f>IFERROR(Recipes2[[#This Row],[Selected Component]], "")</f>
        <v/>
      </c>
      <c r="AB191" s="51" t="str">
        <f>IFERROR(Recipes2[[#This Row],[Selected Name]], "")</f>
        <v/>
      </c>
      <c r="AC191" s="52" t="str">
        <f>IFERROR(Recipes2[[#This Row],[Selected Quantity]], "")</f>
        <v/>
      </c>
    </row>
    <row r="192" spans="21:29" x14ac:dyDescent="0.25">
      <c r="U192" s="6">
        <f t="shared" si="4"/>
        <v>5</v>
      </c>
      <c r="V192" s="51" t="str">
        <f>IFERROR(Recipes[[#This Row],[Selected Name]], "")</f>
        <v/>
      </c>
      <c r="W192" s="51" t="str">
        <f>IFERROR(Recipes[[#This Row],[Selected Component]], "")</f>
        <v/>
      </c>
      <c r="X192" s="52" t="str">
        <f>IFERROR(Recipes[[#This Row],[Selected Quantity]], "")</f>
        <v/>
      </c>
      <c r="Z192" s="53">
        <f t="shared" si="5"/>
        <v>6</v>
      </c>
      <c r="AA192" s="51" t="str">
        <f>IFERROR(Recipes2[[#This Row],[Selected Component]], "")</f>
        <v/>
      </c>
      <c r="AB192" s="51" t="str">
        <f>IFERROR(Recipes2[[#This Row],[Selected Name]], "")</f>
        <v/>
      </c>
      <c r="AC192" s="52" t="str">
        <f>IFERROR(Recipes2[[#This Row],[Selected Quantity]], "")</f>
        <v/>
      </c>
    </row>
    <row r="193" spans="21:29" x14ac:dyDescent="0.25">
      <c r="U193" s="6">
        <f t="shared" si="4"/>
        <v>5</v>
      </c>
      <c r="V193" s="51" t="str">
        <f>IFERROR(Recipes[[#This Row],[Selected Name]], "")</f>
        <v/>
      </c>
      <c r="W193" s="51" t="str">
        <f>IFERROR(Recipes[[#This Row],[Selected Component]], "")</f>
        <v/>
      </c>
      <c r="X193" s="52" t="str">
        <f>IFERROR(Recipes[[#This Row],[Selected Quantity]], "")</f>
        <v/>
      </c>
      <c r="Z193" s="53">
        <f t="shared" si="5"/>
        <v>6</v>
      </c>
      <c r="AA193" s="51" t="str">
        <f>IFERROR(Recipes2[[#This Row],[Selected Component]], "")</f>
        <v/>
      </c>
      <c r="AB193" s="51" t="str">
        <f>IFERROR(Recipes2[[#This Row],[Selected Name]], "")</f>
        <v/>
      </c>
      <c r="AC193" s="52" t="str">
        <f>IFERROR(Recipes2[[#This Row],[Selected Quantity]], "")</f>
        <v/>
      </c>
    </row>
    <row r="194" spans="21:29" x14ac:dyDescent="0.25">
      <c r="U194" s="6">
        <f t="shared" ref="U194:U257" si="6">IF(V194 = V193, U193, U193 + 1)</f>
        <v>5</v>
      </c>
      <c r="V194" s="51" t="str">
        <f>IFERROR(Recipes[[#This Row],[Selected Name]], "")</f>
        <v/>
      </c>
      <c r="W194" s="51" t="str">
        <f>IFERROR(Recipes[[#This Row],[Selected Component]], "")</f>
        <v/>
      </c>
      <c r="X194" s="52" t="str">
        <f>IFERROR(Recipes[[#This Row],[Selected Quantity]], "")</f>
        <v/>
      </c>
      <c r="Z194" s="53">
        <f t="shared" ref="Z194:Z257" si="7">IF(AA194 = AA193, Z193, Z193 + 1)</f>
        <v>6</v>
      </c>
      <c r="AA194" s="51" t="str">
        <f>IFERROR(Recipes2[[#This Row],[Selected Component]], "")</f>
        <v/>
      </c>
      <c r="AB194" s="51" t="str">
        <f>IFERROR(Recipes2[[#This Row],[Selected Name]], "")</f>
        <v/>
      </c>
      <c r="AC194" s="52" t="str">
        <f>IFERROR(Recipes2[[#This Row],[Selected Quantity]], "")</f>
        <v/>
      </c>
    </row>
    <row r="195" spans="21:29" x14ac:dyDescent="0.25">
      <c r="U195" s="6">
        <f t="shared" si="6"/>
        <v>5</v>
      </c>
      <c r="V195" s="51" t="str">
        <f>IFERROR(Recipes[[#This Row],[Selected Name]], "")</f>
        <v/>
      </c>
      <c r="W195" s="51" t="str">
        <f>IFERROR(Recipes[[#This Row],[Selected Component]], "")</f>
        <v/>
      </c>
      <c r="X195" s="52" t="str">
        <f>IFERROR(Recipes[[#This Row],[Selected Quantity]], "")</f>
        <v/>
      </c>
      <c r="Z195" s="53">
        <f t="shared" si="7"/>
        <v>6</v>
      </c>
      <c r="AA195" s="51" t="str">
        <f>IFERROR(Recipes2[[#This Row],[Selected Component]], "")</f>
        <v/>
      </c>
      <c r="AB195" s="51" t="str">
        <f>IFERROR(Recipes2[[#This Row],[Selected Name]], "")</f>
        <v/>
      </c>
      <c r="AC195" s="52" t="str">
        <f>IFERROR(Recipes2[[#This Row],[Selected Quantity]], "")</f>
        <v/>
      </c>
    </row>
    <row r="196" spans="21:29" x14ac:dyDescent="0.25">
      <c r="U196" s="6">
        <f t="shared" si="6"/>
        <v>5</v>
      </c>
      <c r="V196" s="51" t="str">
        <f>IFERROR(Recipes[[#This Row],[Selected Name]], "")</f>
        <v/>
      </c>
      <c r="W196" s="51" t="str">
        <f>IFERROR(Recipes[[#This Row],[Selected Component]], "")</f>
        <v/>
      </c>
      <c r="X196" s="52" t="str">
        <f>IFERROR(Recipes[[#This Row],[Selected Quantity]], "")</f>
        <v/>
      </c>
      <c r="Z196" s="53">
        <f t="shared" si="7"/>
        <v>6</v>
      </c>
      <c r="AA196" s="51" t="str">
        <f>IFERROR(Recipes2[[#This Row],[Selected Component]], "")</f>
        <v/>
      </c>
      <c r="AB196" s="51" t="str">
        <f>IFERROR(Recipes2[[#This Row],[Selected Name]], "")</f>
        <v/>
      </c>
      <c r="AC196" s="52" t="str">
        <f>IFERROR(Recipes2[[#This Row],[Selected Quantity]], "")</f>
        <v/>
      </c>
    </row>
    <row r="197" spans="21:29" x14ac:dyDescent="0.25">
      <c r="U197" s="6">
        <f t="shared" si="6"/>
        <v>5</v>
      </c>
      <c r="V197" s="51" t="str">
        <f>IFERROR(Recipes[[#This Row],[Selected Name]], "")</f>
        <v/>
      </c>
      <c r="W197" s="51" t="str">
        <f>IFERROR(Recipes[[#This Row],[Selected Component]], "")</f>
        <v/>
      </c>
      <c r="X197" s="52" t="str">
        <f>IFERROR(Recipes[[#This Row],[Selected Quantity]], "")</f>
        <v/>
      </c>
      <c r="Z197" s="53">
        <f t="shared" si="7"/>
        <v>6</v>
      </c>
      <c r="AA197" s="51" t="str">
        <f>IFERROR(Recipes2[[#This Row],[Selected Component]], "")</f>
        <v/>
      </c>
      <c r="AB197" s="51" t="str">
        <f>IFERROR(Recipes2[[#This Row],[Selected Name]], "")</f>
        <v/>
      </c>
      <c r="AC197" s="52" t="str">
        <f>IFERROR(Recipes2[[#This Row],[Selected Quantity]], "")</f>
        <v/>
      </c>
    </row>
    <row r="198" spans="21:29" x14ac:dyDescent="0.25">
      <c r="U198" s="6">
        <f t="shared" si="6"/>
        <v>5</v>
      </c>
      <c r="V198" s="51" t="str">
        <f>IFERROR(Recipes[[#This Row],[Selected Name]], "")</f>
        <v/>
      </c>
      <c r="W198" s="51" t="str">
        <f>IFERROR(Recipes[[#This Row],[Selected Component]], "")</f>
        <v/>
      </c>
      <c r="X198" s="52" t="str">
        <f>IFERROR(Recipes[[#This Row],[Selected Quantity]], "")</f>
        <v/>
      </c>
      <c r="Z198" s="53">
        <f t="shared" si="7"/>
        <v>6</v>
      </c>
      <c r="AA198" s="51" t="str">
        <f>IFERROR(Recipes2[[#This Row],[Selected Component]], "")</f>
        <v/>
      </c>
      <c r="AB198" s="51" t="str">
        <f>IFERROR(Recipes2[[#This Row],[Selected Name]], "")</f>
        <v/>
      </c>
      <c r="AC198" s="52" t="str">
        <f>IFERROR(Recipes2[[#This Row],[Selected Quantity]], "")</f>
        <v/>
      </c>
    </row>
    <row r="199" spans="21:29" x14ac:dyDescent="0.25">
      <c r="U199" s="6">
        <f t="shared" si="6"/>
        <v>5</v>
      </c>
      <c r="V199" s="51" t="str">
        <f>IFERROR(Recipes[[#This Row],[Selected Name]], "")</f>
        <v/>
      </c>
      <c r="W199" s="51" t="str">
        <f>IFERROR(Recipes[[#This Row],[Selected Component]], "")</f>
        <v/>
      </c>
      <c r="X199" s="52" t="str">
        <f>IFERROR(Recipes[[#This Row],[Selected Quantity]], "")</f>
        <v/>
      </c>
      <c r="Z199" s="53">
        <f t="shared" si="7"/>
        <v>6</v>
      </c>
      <c r="AA199" s="51" t="str">
        <f>IFERROR(Recipes2[[#This Row],[Selected Component]], "")</f>
        <v/>
      </c>
      <c r="AB199" s="51" t="str">
        <f>IFERROR(Recipes2[[#This Row],[Selected Name]], "")</f>
        <v/>
      </c>
      <c r="AC199" s="52" t="str">
        <f>IFERROR(Recipes2[[#This Row],[Selected Quantity]], "")</f>
        <v/>
      </c>
    </row>
    <row r="200" spans="21:29" x14ac:dyDescent="0.25">
      <c r="U200" s="6">
        <f t="shared" si="6"/>
        <v>5</v>
      </c>
      <c r="V200" s="51" t="str">
        <f>IFERROR(Recipes[[#This Row],[Selected Name]], "")</f>
        <v/>
      </c>
      <c r="W200" s="51" t="str">
        <f>IFERROR(Recipes[[#This Row],[Selected Component]], "")</f>
        <v/>
      </c>
      <c r="X200" s="52" t="str">
        <f>IFERROR(Recipes[[#This Row],[Selected Quantity]], "")</f>
        <v/>
      </c>
      <c r="Z200" s="53">
        <f t="shared" si="7"/>
        <v>6</v>
      </c>
      <c r="AA200" s="51" t="str">
        <f>IFERROR(Recipes2[[#This Row],[Selected Component]], "")</f>
        <v/>
      </c>
      <c r="AB200" s="51" t="str">
        <f>IFERROR(Recipes2[[#This Row],[Selected Name]], "")</f>
        <v/>
      </c>
      <c r="AC200" s="52" t="str">
        <f>IFERROR(Recipes2[[#This Row],[Selected Quantity]], "")</f>
        <v/>
      </c>
    </row>
    <row r="201" spans="21:29" x14ac:dyDescent="0.25">
      <c r="U201" s="6">
        <f t="shared" si="6"/>
        <v>5</v>
      </c>
      <c r="V201" s="51" t="str">
        <f>IFERROR(Recipes[[#This Row],[Selected Name]], "")</f>
        <v/>
      </c>
      <c r="W201" s="51" t="str">
        <f>IFERROR(Recipes[[#This Row],[Selected Component]], "")</f>
        <v/>
      </c>
      <c r="X201" s="52" t="str">
        <f>IFERROR(Recipes[[#This Row],[Selected Quantity]], "")</f>
        <v/>
      </c>
      <c r="Z201" s="53">
        <f t="shared" si="7"/>
        <v>6</v>
      </c>
      <c r="AA201" s="51" t="str">
        <f>IFERROR(Recipes2[[#This Row],[Selected Component]], "")</f>
        <v/>
      </c>
      <c r="AB201" s="51" t="str">
        <f>IFERROR(Recipes2[[#This Row],[Selected Name]], "")</f>
        <v/>
      </c>
      <c r="AC201" s="52" t="str">
        <f>IFERROR(Recipes2[[#This Row],[Selected Quantity]], "")</f>
        <v/>
      </c>
    </row>
    <row r="202" spans="21:29" x14ac:dyDescent="0.25">
      <c r="U202" s="6">
        <f t="shared" si="6"/>
        <v>5</v>
      </c>
      <c r="V202" s="51" t="str">
        <f>IFERROR(Recipes[[#This Row],[Selected Name]], "")</f>
        <v/>
      </c>
      <c r="W202" s="51" t="str">
        <f>IFERROR(Recipes[[#This Row],[Selected Component]], "")</f>
        <v/>
      </c>
      <c r="X202" s="52" t="str">
        <f>IFERROR(Recipes[[#This Row],[Selected Quantity]], "")</f>
        <v/>
      </c>
      <c r="Z202" s="53">
        <f t="shared" si="7"/>
        <v>6</v>
      </c>
      <c r="AA202" s="51" t="str">
        <f>IFERROR(Recipes2[[#This Row],[Selected Component]], "")</f>
        <v/>
      </c>
      <c r="AB202" s="51" t="str">
        <f>IFERROR(Recipes2[[#This Row],[Selected Name]], "")</f>
        <v/>
      </c>
      <c r="AC202" s="52" t="str">
        <f>IFERROR(Recipes2[[#This Row],[Selected Quantity]], "")</f>
        <v/>
      </c>
    </row>
    <row r="203" spans="21:29" x14ac:dyDescent="0.25">
      <c r="U203" s="6">
        <f t="shared" si="6"/>
        <v>5</v>
      </c>
      <c r="V203" s="51" t="str">
        <f>IFERROR(Recipes[[#This Row],[Selected Name]], "")</f>
        <v/>
      </c>
      <c r="W203" s="51" t="str">
        <f>IFERROR(Recipes[[#This Row],[Selected Component]], "")</f>
        <v/>
      </c>
      <c r="X203" s="52" t="str">
        <f>IFERROR(Recipes[[#This Row],[Selected Quantity]], "")</f>
        <v/>
      </c>
      <c r="Z203" s="53">
        <f t="shared" si="7"/>
        <v>6</v>
      </c>
      <c r="AA203" s="51" t="str">
        <f>IFERROR(Recipes2[[#This Row],[Selected Component]], "")</f>
        <v/>
      </c>
      <c r="AB203" s="51" t="str">
        <f>IFERROR(Recipes2[[#This Row],[Selected Name]], "")</f>
        <v/>
      </c>
      <c r="AC203" s="52" t="str">
        <f>IFERROR(Recipes2[[#This Row],[Selected Quantity]], "")</f>
        <v/>
      </c>
    </row>
    <row r="204" spans="21:29" x14ac:dyDescent="0.25">
      <c r="U204" s="6">
        <f t="shared" si="6"/>
        <v>5</v>
      </c>
      <c r="V204" s="51" t="str">
        <f>IFERROR(Recipes[[#This Row],[Selected Name]], "")</f>
        <v/>
      </c>
      <c r="W204" s="51" t="str">
        <f>IFERROR(Recipes[[#This Row],[Selected Component]], "")</f>
        <v/>
      </c>
      <c r="X204" s="52" t="str">
        <f>IFERROR(Recipes[[#This Row],[Selected Quantity]], "")</f>
        <v/>
      </c>
      <c r="Z204" s="53">
        <f t="shared" si="7"/>
        <v>6</v>
      </c>
      <c r="AA204" s="51" t="str">
        <f>IFERROR(Recipes2[[#This Row],[Selected Component]], "")</f>
        <v/>
      </c>
      <c r="AB204" s="51" t="str">
        <f>IFERROR(Recipes2[[#This Row],[Selected Name]], "")</f>
        <v/>
      </c>
      <c r="AC204" s="52" t="str">
        <f>IFERROR(Recipes2[[#This Row],[Selected Quantity]], "")</f>
        <v/>
      </c>
    </row>
    <row r="205" spans="21:29" x14ac:dyDescent="0.25">
      <c r="U205" s="6">
        <f t="shared" si="6"/>
        <v>5</v>
      </c>
      <c r="V205" s="51" t="str">
        <f>IFERROR(Recipes[[#This Row],[Selected Name]], "")</f>
        <v/>
      </c>
      <c r="W205" s="51" t="str">
        <f>IFERROR(Recipes[[#This Row],[Selected Component]], "")</f>
        <v/>
      </c>
      <c r="X205" s="52" t="str">
        <f>IFERROR(Recipes[[#This Row],[Selected Quantity]], "")</f>
        <v/>
      </c>
      <c r="Z205" s="53">
        <f t="shared" si="7"/>
        <v>6</v>
      </c>
      <c r="AA205" s="51" t="str">
        <f>IFERROR(Recipes2[[#This Row],[Selected Component]], "")</f>
        <v/>
      </c>
      <c r="AB205" s="51" t="str">
        <f>IFERROR(Recipes2[[#This Row],[Selected Name]], "")</f>
        <v/>
      </c>
      <c r="AC205" s="52" t="str">
        <f>IFERROR(Recipes2[[#This Row],[Selected Quantity]], "")</f>
        <v/>
      </c>
    </row>
    <row r="206" spans="21:29" x14ac:dyDescent="0.25">
      <c r="U206" s="6">
        <f t="shared" si="6"/>
        <v>5</v>
      </c>
      <c r="V206" s="51" t="str">
        <f>IFERROR(Recipes[[#This Row],[Selected Name]], "")</f>
        <v/>
      </c>
      <c r="W206" s="51" t="str">
        <f>IFERROR(Recipes[[#This Row],[Selected Component]], "")</f>
        <v/>
      </c>
      <c r="X206" s="52" t="str">
        <f>IFERROR(Recipes[[#This Row],[Selected Quantity]], "")</f>
        <v/>
      </c>
      <c r="Z206" s="53">
        <f t="shared" si="7"/>
        <v>6</v>
      </c>
      <c r="AA206" s="51" t="str">
        <f>IFERROR(Recipes2[[#This Row],[Selected Component]], "")</f>
        <v/>
      </c>
      <c r="AB206" s="51" t="str">
        <f>IFERROR(Recipes2[[#This Row],[Selected Name]], "")</f>
        <v/>
      </c>
      <c r="AC206" s="52" t="str">
        <f>IFERROR(Recipes2[[#This Row],[Selected Quantity]], "")</f>
        <v/>
      </c>
    </row>
    <row r="207" spans="21:29" x14ac:dyDescent="0.25">
      <c r="U207" s="6">
        <f t="shared" si="6"/>
        <v>5</v>
      </c>
      <c r="V207" s="51" t="str">
        <f>IFERROR(Recipes[[#This Row],[Selected Name]], "")</f>
        <v/>
      </c>
      <c r="W207" s="51" t="str">
        <f>IFERROR(Recipes[[#This Row],[Selected Component]], "")</f>
        <v/>
      </c>
      <c r="X207" s="52" t="str">
        <f>IFERROR(Recipes[[#This Row],[Selected Quantity]], "")</f>
        <v/>
      </c>
      <c r="Z207" s="53">
        <f t="shared" si="7"/>
        <v>6</v>
      </c>
      <c r="AA207" s="51" t="str">
        <f>IFERROR(Recipes2[[#This Row],[Selected Component]], "")</f>
        <v/>
      </c>
      <c r="AB207" s="51" t="str">
        <f>IFERROR(Recipes2[[#This Row],[Selected Name]], "")</f>
        <v/>
      </c>
      <c r="AC207" s="52" t="str">
        <f>IFERROR(Recipes2[[#This Row],[Selected Quantity]], "")</f>
        <v/>
      </c>
    </row>
    <row r="208" spans="21:29" x14ac:dyDescent="0.25">
      <c r="U208" s="6">
        <f t="shared" si="6"/>
        <v>5</v>
      </c>
      <c r="V208" s="51" t="str">
        <f>IFERROR(Recipes[[#This Row],[Selected Name]], "")</f>
        <v/>
      </c>
      <c r="W208" s="51" t="str">
        <f>IFERROR(Recipes[[#This Row],[Selected Component]], "")</f>
        <v/>
      </c>
      <c r="X208" s="52" t="str">
        <f>IFERROR(Recipes[[#This Row],[Selected Quantity]], "")</f>
        <v/>
      </c>
      <c r="Z208" s="53">
        <f t="shared" si="7"/>
        <v>6</v>
      </c>
      <c r="AA208" s="51" t="str">
        <f>IFERROR(Recipes2[[#This Row],[Selected Component]], "")</f>
        <v/>
      </c>
      <c r="AB208" s="51" t="str">
        <f>IFERROR(Recipes2[[#This Row],[Selected Name]], "")</f>
        <v/>
      </c>
      <c r="AC208" s="52" t="str">
        <f>IFERROR(Recipes2[[#This Row],[Selected Quantity]], "")</f>
        <v/>
      </c>
    </row>
    <row r="209" spans="21:29" x14ac:dyDescent="0.25">
      <c r="U209" s="6">
        <f t="shared" si="6"/>
        <v>5</v>
      </c>
      <c r="V209" s="51" t="str">
        <f>IFERROR(Recipes[[#This Row],[Selected Name]], "")</f>
        <v/>
      </c>
      <c r="W209" s="51" t="str">
        <f>IFERROR(Recipes[[#This Row],[Selected Component]], "")</f>
        <v/>
      </c>
      <c r="X209" s="52" t="str">
        <f>IFERROR(Recipes[[#This Row],[Selected Quantity]], "")</f>
        <v/>
      </c>
      <c r="Z209" s="53">
        <f t="shared" si="7"/>
        <v>6</v>
      </c>
      <c r="AA209" s="51" t="str">
        <f>IFERROR(Recipes2[[#This Row],[Selected Component]], "")</f>
        <v/>
      </c>
      <c r="AB209" s="51" t="str">
        <f>IFERROR(Recipes2[[#This Row],[Selected Name]], "")</f>
        <v/>
      </c>
      <c r="AC209" s="52" t="str">
        <f>IFERROR(Recipes2[[#This Row],[Selected Quantity]], "")</f>
        <v/>
      </c>
    </row>
    <row r="210" spans="21:29" x14ac:dyDescent="0.25">
      <c r="U210" s="6">
        <f t="shared" si="6"/>
        <v>5</v>
      </c>
      <c r="V210" s="51" t="str">
        <f>IFERROR(Recipes[[#This Row],[Selected Name]], "")</f>
        <v/>
      </c>
      <c r="W210" s="51" t="str">
        <f>IFERROR(Recipes[[#This Row],[Selected Component]], "")</f>
        <v/>
      </c>
      <c r="X210" s="52" t="str">
        <f>IFERROR(Recipes[[#This Row],[Selected Quantity]], "")</f>
        <v/>
      </c>
      <c r="Z210" s="53">
        <f t="shared" si="7"/>
        <v>6</v>
      </c>
      <c r="AA210" s="51" t="str">
        <f>IFERROR(Recipes2[[#This Row],[Selected Component]], "")</f>
        <v/>
      </c>
      <c r="AB210" s="51" t="str">
        <f>IFERROR(Recipes2[[#This Row],[Selected Name]], "")</f>
        <v/>
      </c>
      <c r="AC210" s="52" t="str">
        <f>IFERROR(Recipes2[[#This Row],[Selected Quantity]], "")</f>
        <v/>
      </c>
    </row>
    <row r="211" spans="21:29" x14ac:dyDescent="0.25">
      <c r="U211" s="6">
        <f t="shared" si="6"/>
        <v>5</v>
      </c>
      <c r="V211" s="51" t="str">
        <f>IFERROR(Recipes[[#This Row],[Selected Name]], "")</f>
        <v/>
      </c>
      <c r="W211" s="51" t="str">
        <f>IFERROR(Recipes[[#This Row],[Selected Component]], "")</f>
        <v/>
      </c>
      <c r="X211" s="52" t="str">
        <f>IFERROR(Recipes[[#This Row],[Selected Quantity]], "")</f>
        <v/>
      </c>
      <c r="Z211" s="53">
        <f t="shared" si="7"/>
        <v>6</v>
      </c>
      <c r="AA211" s="51" t="str">
        <f>IFERROR(Recipes2[[#This Row],[Selected Component]], "")</f>
        <v/>
      </c>
      <c r="AB211" s="51" t="str">
        <f>IFERROR(Recipes2[[#This Row],[Selected Name]], "")</f>
        <v/>
      </c>
      <c r="AC211" s="52" t="str">
        <f>IFERROR(Recipes2[[#This Row],[Selected Quantity]], "")</f>
        <v/>
      </c>
    </row>
    <row r="212" spans="21:29" x14ac:dyDescent="0.25">
      <c r="U212" s="6">
        <f t="shared" si="6"/>
        <v>5</v>
      </c>
      <c r="V212" s="51" t="str">
        <f>IFERROR(Recipes[[#This Row],[Selected Name]], "")</f>
        <v/>
      </c>
      <c r="W212" s="51" t="str">
        <f>IFERROR(Recipes[[#This Row],[Selected Component]], "")</f>
        <v/>
      </c>
      <c r="X212" s="52" t="str">
        <f>IFERROR(Recipes[[#This Row],[Selected Quantity]], "")</f>
        <v/>
      </c>
      <c r="Z212" s="53">
        <f t="shared" si="7"/>
        <v>6</v>
      </c>
      <c r="AA212" s="51" t="str">
        <f>IFERROR(Recipes2[[#This Row],[Selected Component]], "")</f>
        <v/>
      </c>
      <c r="AB212" s="51" t="str">
        <f>IFERROR(Recipes2[[#This Row],[Selected Name]], "")</f>
        <v/>
      </c>
      <c r="AC212" s="52" t="str">
        <f>IFERROR(Recipes2[[#This Row],[Selected Quantity]], "")</f>
        <v/>
      </c>
    </row>
    <row r="213" spans="21:29" x14ac:dyDescent="0.25">
      <c r="U213" s="6">
        <f t="shared" si="6"/>
        <v>5</v>
      </c>
      <c r="V213" s="51" t="str">
        <f>IFERROR(Recipes[[#This Row],[Selected Name]], "")</f>
        <v/>
      </c>
      <c r="W213" s="51" t="str">
        <f>IFERROR(Recipes[[#This Row],[Selected Component]], "")</f>
        <v/>
      </c>
      <c r="X213" s="52" t="str">
        <f>IFERROR(Recipes[[#This Row],[Selected Quantity]], "")</f>
        <v/>
      </c>
      <c r="Z213" s="53">
        <f t="shared" si="7"/>
        <v>6</v>
      </c>
      <c r="AA213" s="51" t="str">
        <f>IFERROR(Recipes2[[#This Row],[Selected Component]], "")</f>
        <v/>
      </c>
      <c r="AB213" s="51" t="str">
        <f>IFERROR(Recipes2[[#This Row],[Selected Name]], "")</f>
        <v/>
      </c>
      <c r="AC213" s="52" t="str">
        <f>IFERROR(Recipes2[[#This Row],[Selected Quantity]], "")</f>
        <v/>
      </c>
    </row>
    <row r="214" spans="21:29" x14ac:dyDescent="0.25">
      <c r="U214" s="6">
        <f t="shared" si="6"/>
        <v>5</v>
      </c>
      <c r="V214" s="51" t="str">
        <f>IFERROR(Recipes[[#This Row],[Selected Name]], "")</f>
        <v/>
      </c>
      <c r="W214" s="51" t="str">
        <f>IFERROR(Recipes[[#This Row],[Selected Component]], "")</f>
        <v/>
      </c>
      <c r="X214" s="52" t="str">
        <f>IFERROR(Recipes[[#This Row],[Selected Quantity]], "")</f>
        <v/>
      </c>
      <c r="Z214" s="53">
        <f t="shared" si="7"/>
        <v>6</v>
      </c>
      <c r="AA214" s="51" t="str">
        <f>IFERROR(Recipes2[[#This Row],[Selected Component]], "")</f>
        <v/>
      </c>
      <c r="AB214" s="51" t="str">
        <f>IFERROR(Recipes2[[#This Row],[Selected Name]], "")</f>
        <v/>
      </c>
      <c r="AC214" s="52" t="str">
        <f>IFERROR(Recipes2[[#This Row],[Selected Quantity]], "")</f>
        <v/>
      </c>
    </row>
    <row r="215" spans="21:29" x14ac:dyDescent="0.25">
      <c r="U215" s="6">
        <f t="shared" si="6"/>
        <v>5</v>
      </c>
      <c r="V215" s="51" t="str">
        <f>IFERROR(Recipes[[#This Row],[Selected Name]], "")</f>
        <v/>
      </c>
      <c r="W215" s="51" t="str">
        <f>IFERROR(Recipes[[#This Row],[Selected Component]], "")</f>
        <v/>
      </c>
      <c r="X215" s="52" t="str">
        <f>IFERROR(Recipes[[#This Row],[Selected Quantity]], "")</f>
        <v/>
      </c>
      <c r="Z215" s="53">
        <f t="shared" si="7"/>
        <v>6</v>
      </c>
      <c r="AA215" s="51" t="str">
        <f>IFERROR(Recipes2[[#This Row],[Selected Component]], "")</f>
        <v/>
      </c>
      <c r="AB215" s="51" t="str">
        <f>IFERROR(Recipes2[[#This Row],[Selected Name]], "")</f>
        <v/>
      </c>
      <c r="AC215" s="52" t="str">
        <f>IFERROR(Recipes2[[#This Row],[Selected Quantity]], "")</f>
        <v/>
      </c>
    </row>
    <row r="216" spans="21:29" x14ac:dyDescent="0.25">
      <c r="U216" s="6">
        <f t="shared" si="6"/>
        <v>5</v>
      </c>
      <c r="V216" s="51" t="str">
        <f>IFERROR(Recipes[[#This Row],[Selected Name]], "")</f>
        <v/>
      </c>
      <c r="W216" s="51" t="str">
        <f>IFERROR(Recipes[[#This Row],[Selected Component]], "")</f>
        <v/>
      </c>
      <c r="X216" s="52" t="str">
        <f>IFERROR(Recipes[[#This Row],[Selected Quantity]], "")</f>
        <v/>
      </c>
      <c r="Z216" s="53">
        <f t="shared" si="7"/>
        <v>6</v>
      </c>
      <c r="AA216" s="51" t="str">
        <f>IFERROR(Recipes2[[#This Row],[Selected Component]], "")</f>
        <v/>
      </c>
      <c r="AB216" s="51" t="str">
        <f>IFERROR(Recipes2[[#This Row],[Selected Name]], "")</f>
        <v/>
      </c>
      <c r="AC216" s="52" t="str">
        <f>IFERROR(Recipes2[[#This Row],[Selected Quantity]], "")</f>
        <v/>
      </c>
    </row>
    <row r="217" spans="21:29" x14ac:dyDescent="0.25">
      <c r="U217" s="6">
        <f t="shared" si="6"/>
        <v>5</v>
      </c>
      <c r="V217" s="51" t="str">
        <f>IFERROR(Recipes[[#This Row],[Selected Name]], "")</f>
        <v/>
      </c>
      <c r="W217" s="51" t="str">
        <f>IFERROR(Recipes[[#This Row],[Selected Component]], "")</f>
        <v/>
      </c>
      <c r="X217" s="52" t="str">
        <f>IFERROR(Recipes[[#This Row],[Selected Quantity]], "")</f>
        <v/>
      </c>
      <c r="Z217" s="53">
        <f t="shared" si="7"/>
        <v>6</v>
      </c>
      <c r="AA217" s="51" t="str">
        <f>IFERROR(Recipes2[[#This Row],[Selected Component]], "")</f>
        <v/>
      </c>
      <c r="AB217" s="51" t="str">
        <f>IFERROR(Recipes2[[#This Row],[Selected Name]], "")</f>
        <v/>
      </c>
      <c r="AC217" s="52" t="str">
        <f>IFERROR(Recipes2[[#This Row],[Selected Quantity]], "")</f>
        <v/>
      </c>
    </row>
    <row r="218" spans="21:29" x14ac:dyDescent="0.25">
      <c r="U218" s="6">
        <f t="shared" si="6"/>
        <v>5</v>
      </c>
      <c r="V218" s="51" t="str">
        <f>IFERROR(Recipes[[#This Row],[Selected Name]], "")</f>
        <v/>
      </c>
      <c r="W218" s="51" t="str">
        <f>IFERROR(Recipes[[#This Row],[Selected Component]], "")</f>
        <v/>
      </c>
      <c r="X218" s="52" t="str">
        <f>IFERROR(Recipes[[#This Row],[Selected Quantity]], "")</f>
        <v/>
      </c>
      <c r="Z218" s="53">
        <f t="shared" si="7"/>
        <v>6</v>
      </c>
      <c r="AA218" s="51" t="str">
        <f>IFERROR(Recipes2[[#This Row],[Selected Component]], "")</f>
        <v/>
      </c>
      <c r="AB218" s="51" t="str">
        <f>IFERROR(Recipes2[[#This Row],[Selected Name]], "")</f>
        <v/>
      </c>
      <c r="AC218" s="52" t="str">
        <f>IFERROR(Recipes2[[#This Row],[Selected Quantity]], "")</f>
        <v/>
      </c>
    </row>
    <row r="219" spans="21:29" x14ac:dyDescent="0.25">
      <c r="U219" s="6">
        <f t="shared" si="6"/>
        <v>5</v>
      </c>
      <c r="V219" s="51" t="str">
        <f>IFERROR(Recipes[[#This Row],[Selected Name]], "")</f>
        <v/>
      </c>
      <c r="W219" s="51" t="str">
        <f>IFERROR(Recipes[[#This Row],[Selected Component]], "")</f>
        <v/>
      </c>
      <c r="X219" s="52" t="str">
        <f>IFERROR(Recipes[[#This Row],[Selected Quantity]], "")</f>
        <v/>
      </c>
      <c r="Z219" s="53">
        <f t="shared" si="7"/>
        <v>6</v>
      </c>
      <c r="AA219" s="51" t="str">
        <f>IFERROR(Recipes2[[#This Row],[Selected Component]], "")</f>
        <v/>
      </c>
      <c r="AB219" s="51" t="str">
        <f>IFERROR(Recipes2[[#This Row],[Selected Name]], "")</f>
        <v/>
      </c>
      <c r="AC219" s="52" t="str">
        <f>IFERROR(Recipes2[[#This Row],[Selected Quantity]], "")</f>
        <v/>
      </c>
    </row>
    <row r="220" spans="21:29" x14ac:dyDescent="0.25">
      <c r="U220" s="6">
        <f t="shared" si="6"/>
        <v>5</v>
      </c>
      <c r="V220" s="51" t="str">
        <f>IFERROR(Recipes[[#This Row],[Selected Name]], "")</f>
        <v/>
      </c>
      <c r="W220" s="51" t="str">
        <f>IFERROR(Recipes[[#This Row],[Selected Component]], "")</f>
        <v/>
      </c>
      <c r="X220" s="52" t="str">
        <f>IFERROR(Recipes[[#This Row],[Selected Quantity]], "")</f>
        <v/>
      </c>
      <c r="Z220" s="53">
        <f t="shared" si="7"/>
        <v>6</v>
      </c>
      <c r="AA220" s="51" t="str">
        <f>IFERROR(Recipes2[[#This Row],[Selected Component]], "")</f>
        <v/>
      </c>
      <c r="AB220" s="51" t="str">
        <f>IFERROR(Recipes2[[#This Row],[Selected Name]], "")</f>
        <v/>
      </c>
      <c r="AC220" s="52" t="str">
        <f>IFERROR(Recipes2[[#This Row],[Selected Quantity]], "")</f>
        <v/>
      </c>
    </row>
    <row r="221" spans="21:29" x14ac:dyDescent="0.25">
      <c r="U221" s="6">
        <f t="shared" si="6"/>
        <v>5</v>
      </c>
      <c r="V221" s="51" t="str">
        <f>IFERROR(Recipes[[#This Row],[Selected Name]], "")</f>
        <v/>
      </c>
      <c r="W221" s="51" t="str">
        <f>IFERROR(Recipes[[#This Row],[Selected Component]], "")</f>
        <v/>
      </c>
      <c r="X221" s="52" t="str">
        <f>IFERROR(Recipes[[#This Row],[Selected Quantity]], "")</f>
        <v/>
      </c>
      <c r="Z221" s="53">
        <f t="shared" si="7"/>
        <v>6</v>
      </c>
      <c r="AA221" s="51" t="str">
        <f>IFERROR(Recipes2[[#This Row],[Selected Component]], "")</f>
        <v/>
      </c>
      <c r="AB221" s="51" t="str">
        <f>IFERROR(Recipes2[[#This Row],[Selected Name]], "")</f>
        <v/>
      </c>
      <c r="AC221" s="52" t="str">
        <f>IFERROR(Recipes2[[#This Row],[Selected Quantity]], "")</f>
        <v/>
      </c>
    </row>
    <row r="222" spans="21:29" x14ac:dyDescent="0.25">
      <c r="U222" s="6">
        <f t="shared" si="6"/>
        <v>5</v>
      </c>
      <c r="V222" s="51" t="str">
        <f>IFERROR(Recipes[[#This Row],[Selected Name]], "")</f>
        <v/>
      </c>
      <c r="W222" s="51" t="str">
        <f>IFERROR(Recipes[[#This Row],[Selected Component]], "")</f>
        <v/>
      </c>
      <c r="X222" s="52" t="str">
        <f>IFERROR(Recipes[[#This Row],[Selected Quantity]], "")</f>
        <v/>
      </c>
      <c r="Z222" s="53">
        <f t="shared" si="7"/>
        <v>6</v>
      </c>
      <c r="AA222" s="51" t="str">
        <f>IFERROR(Recipes2[[#This Row],[Selected Component]], "")</f>
        <v/>
      </c>
      <c r="AB222" s="51" t="str">
        <f>IFERROR(Recipes2[[#This Row],[Selected Name]], "")</f>
        <v/>
      </c>
      <c r="AC222" s="52" t="str">
        <f>IFERROR(Recipes2[[#This Row],[Selected Quantity]], "")</f>
        <v/>
      </c>
    </row>
    <row r="223" spans="21:29" x14ac:dyDescent="0.25">
      <c r="U223" s="6">
        <f t="shared" si="6"/>
        <v>5</v>
      </c>
      <c r="V223" s="51" t="str">
        <f>IFERROR(Recipes[[#This Row],[Selected Name]], "")</f>
        <v/>
      </c>
      <c r="W223" s="51" t="str">
        <f>IFERROR(Recipes[[#This Row],[Selected Component]], "")</f>
        <v/>
      </c>
      <c r="X223" s="52" t="str">
        <f>IFERROR(Recipes[[#This Row],[Selected Quantity]], "")</f>
        <v/>
      </c>
      <c r="Z223" s="53">
        <f t="shared" si="7"/>
        <v>6</v>
      </c>
      <c r="AA223" s="51" t="str">
        <f>IFERROR(Recipes2[[#This Row],[Selected Component]], "")</f>
        <v/>
      </c>
      <c r="AB223" s="51" t="str">
        <f>IFERROR(Recipes2[[#This Row],[Selected Name]], "")</f>
        <v/>
      </c>
      <c r="AC223" s="52" t="str">
        <f>IFERROR(Recipes2[[#This Row],[Selected Quantity]], "")</f>
        <v/>
      </c>
    </row>
    <row r="224" spans="21:29" x14ac:dyDescent="0.25">
      <c r="U224" s="6">
        <f t="shared" si="6"/>
        <v>5</v>
      </c>
      <c r="V224" s="51" t="str">
        <f>IFERROR(Recipes[[#This Row],[Selected Name]], "")</f>
        <v/>
      </c>
      <c r="W224" s="51" t="str">
        <f>IFERROR(Recipes[[#This Row],[Selected Component]], "")</f>
        <v/>
      </c>
      <c r="X224" s="52" t="str">
        <f>IFERROR(Recipes[[#This Row],[Selected Quantity]], "")</f>
        <v/>
      </c>
      <c r="Z224" s="53">
        <f t="shared" si="7"/>
        <v>6</v>
      </c>
      <c r="AA224" s="51" t="str">
        <f>IFERROR(Recipes2[[#This Row],[Selected Component]], "")</f>
        <v/>
      </c>
      <c r="AB224" s="51" t="str">
        <f>IFERROR(Recipes2[[#This Row],[Selected Name]], "")</f>
        <v/>
      </c>
      <c r="AC224" s="52" t="str">
        <f>IFERROR(Recipes2[[#This Row],[Selected Quantity]], "")</f>
        <v/>
      </c>
    </row>
    <row r="225" spans="21:29" x14ac:dyDescent="0.25">
      <c r="U225" s="6">
        <f t="shared" si="6"/>
        <v>5</v>
      </c>
      <c r="V225" s="51" t="str">
        <f>IFERROR(Recipes[[#This Row],[Selected Name]], "")</f>
        <v/>
      </c>
      <c r="W225" s="51" t="str">
        <f>IFERROR(Recipes[[#This Row],[Selected Component]], "")</f>
        <v/>
      </c>
      <c r="X225" s="52" t="str">
        <f>IFERROR(Recipes[[#This Row],[Selected Quantity]], "")</f>
        <v/>
      </c>
      <c r="Z225" s="53">
        <f t="shared" si="7"/>
        <v>6</v>
      </c>
      <c r="AA225" s="51" t="str">
        <f>IFERROR(Recipes2[[#This Row],[Selected Component]], "")</f>
        <v/>
      </c>
      <c r="AB225" s="51" t="str">
        <f>IFERROR(Recipes2[[#This Row],[Selected Name]], "")</f>
        <v/>
      </c>
      <c r="AC225" s="52" t="str">
        <f>IFERROR(Recipes2[[#This Row],[Selected Quantity]], "")</f>
        <v/>
      </c>
    </row>
    <row r="226" spans="21:29" x14ac:dyDescent="0.25">
      <c r="U226" s="6">
        <f t="shared" si="6"/>
        <v>5</v>
      </c>
      <c r="V226" s="51" t="str">
        <f>IFERROR(Recipes[[#This Row],[Selected Name]], "")</f>
        <v/>
      </c>
      <c r="W226" s="51" t="str">
        <f>IFERROR(Recipes[[#This Row],[Selected Component]], "")</f>
        <v/>
      </c>
      <c r="X226" s="52" t="str">
        <f>IFERROR(Recipes[[#This Row],[Selected Quantity]], "")</f>
        <v/>
      </c>
      <c r="Z226" s="53">
        <f t="shared" si="7"/>
        <v>6</v>
      </c>
      <c r="AA226" s="51" t="str">
        <f>IFERROR(Recipes2[[#This Row],[Selected Component]], "")</f>
        <v/>
      </c>
      <c r="AB226" s="51" t="str">
        <f>IFERROR(Recipes2[[#This Row],[Selected Name]], "")</f>
        <v/>
      </c>
      <c r="AC226" s="52" t="str">
        <f>IFERROR(Recipes2[[#This Row],[Selected Quantity]], "")</f>
        <v/>
      </c>
    </row>
    <row r="227" spans="21:29" x14ac:dyDescent="0.25">
      <c r="U227" s="6">
        <f t="shared" si="6"/>
        <v>5</v>
      </c>
      <c r="V227" s="51" t="str">
        <f>IFERROR(Recipes[[#This Row],[Selected Name]], "")</f>
        <v/>
      </c>
      <c r="W227" s="51" t="str">
        <f>IFERROR(Recipes[[#This Row],[Selected Component]], "")</f>
        <v/>
      </c>
      <c r="X227" s="52" t="str">
        <f>IFERROR(Recipes[[#This Row],[Selected Quantity]], "")</f>
        <v/>
      </c>
      <c r="Z227" s="53">
        <f t="shared" si="7"/>
        <v>6</v>
      </c>
      <c r="AA227" s="51" t="str">
        <f>IFERROR(Recipes2[[#This Row],[Selected Component]], "")</f>
        <v/>
      </c>
      <c r="AB227" s="51" t="str">
        <f>IFERROR(Recipes2[[#This Row],[Selected Name]], "")</f>
        <v/>
      </c>
      <c r="AC227" s="52" t="str">
        <f>IFERROR(Recipes2[[#This Row],[Selected Quantity]], "")</f>
        <v/>
      </c>
    </row>
    <row r="228" spans="21:29" x14ac:dyDescent="0.25">
      <c r="U228" s="6">
        <f t="shared" si="6"/>
        <v>5</v>
      </c>
      <c r="V228" s="51" t="str">
        <f>IFERROR(Recipes[[#This Row],[Selected Name]], "")</f>
        <v/>
      </c>
      <c r="W228" s="51" t="str">
        <f>IFERROR(Recipes[[#This Row],[Selected Component]], "")</f>
        <v/>
      </c>
      <c r="X228" s="52" t="str">
        <f>IFERROR(Recipes[[#This Row],[Selected Quantity]], "")</f>
        <v/>
      </c>
      <c r="Z228" s="53">
        <f t="shared" si="7"/>
        <v>6</v>
      </c>
      <c r="AA228" s="51" t="str">
        <f>IFERROR(Recipes2[[#This Row],[Selected Component]], "")</f>
        <v/>
      </c>
      <c r="AB228" s="51" t="str">
        <f>IFERROR(Recipes2[[#This Row],[Selected Name]], "")</f>
        <v/>
      </c>
      <c r="AC228" s="52" t="str">
        <f>IFERROR(Recipes2[[#This Row],[Selected Quantity]], "")</f>
        <v/>
      </c>
    </row>
    <row r="229" spans="21:29" x14ac:dyDescent="0.25">
      <c r="U229" s="6">
        <f t="shared" si="6"/>
        <v>5</v>
      </c>
      <c r="V229" s="51" t="str">
        <f>IFERROR(Recipes[[#This Row],[Selected Name]], "")</f>
        <v/>
      </c>
      <c r="W229" s="51" t="str">
        <f>IFERROR(Recipes[[#This Row],[Selected Component]], "")</f>
        <v/>
      </c>
      <c r="X229" s="52" t="str">
        <f>IFERROR(Recipes[[#This Row],[Selected Quantity]], "")</f>
        <v/>
      </c>
      <c r="Z229" s="53">
        <f t="shared" si="7"/>
        <v>6</v>
      </c>
      <c r="AA229" s="51" t="str">
        <f>IFERROR(Recipes2[[#This Row],[Selected Component]], "")</f>
        <v/>
      </c>
      <c r="AB229" s="51" t="str">
        <f>IFERROR(Recipes2[[#This Row],[Selected Name]], "")</f>
        <v/>
      </c>
      <c r="AC229" s="52" t="str">
        <f>IFERROR(Recipes2[[#This Row],[Selected Quantity]], "")</f>
        <v/>
      </c>
    </row>
    <row r="230" spans="21:29" x14ac:dyDescent="0.25">
      <c r="U230" s="6">
        <f t="shared" si="6"/>
        <v>5</v>
      </c>
      <c r="V230" s="51" t="str">
        <f>IFERROR(Recipes[[#This Row],[Selected Name]], "")</f>
        <v/>
      </c>
      <c r="W230" s="51" t="str">
        <f>IFERROR(Recipes[[#This Row],[Selected Component]], "")</f>
        <v/>
      </c>
      <c r="X230" s="52" t="str">
        <f>IFERROR(Recipes[[#This Row],[Selected Quantity]], "")</f>
        <v/>
      </c>
      <c r="Z230" s="53">
        <f t="shared" si="7"/>
        <v>6</v>
      </c>
      <c r="AA230" s="51" t="str">
        <f>IFERROR(Recipes2[[#This Row],[Selected Component]], "")</f>
        <v/>
      </c>
      <c r="AB230" s="51" t="str">
        <f>IFERROR(Recipes2[[#This Row],[Selected Name]], "")</f>
        <v/>
      </c>
      <c r="AC230" s="52" t="str">
        <f>IFERROR(Recipes2[[#This Row],[Selected Quantity]], "")</f>
        <v/>
      </c>
    </row>
    <row r="231" spans="21:29" x14ac:dyDescent="0.25">
      <c r="U231" s="6">
        <f t="shared" si="6"/>
        <v>5</v>
      </c>
      <c r="V231" s="51" t="str">
        <f>IFERROR(Recipes[[#This Row],[Selected Name]], "")</f>
        <v/>
      </c>
      <c r="W231" s="51" t="str">
        <f>IFERROR(Recipes[[#This Row],[Selected Component]], "")</f>
        <v/>
      </c>
      <c r="X231" s="52" t="str">
        <f>IFERROR(Recipes[[#This Row],[Selected Quantity]], "")</f>
        <v/>
      </c>
      <c r="Z231" s="53">
        <f t="shared" si="7"/>
        <v>6</v>
      </c>
      <c r="AA231" s="51" t="str">
        <f>IFERROR(Recipes2[[#This Row],[Selected Component]], "")</f>
        <v/>
      </c>
      <c r="AB231" s="51" t="str">
        <f>IFERROR(Recipes2[[#This Row],[Selected Name]], "")</f>
        <v/>
      </c>
      <c r="AC231" s="52" t="str">
        <f>IFERROR(Recipes2[[#This Row],[Selected Quantity]], "")</f>
        <v/>
      </c>
    </row>
    <row r="232" spans="21:29" x14ac:dyDescent="0.25">
      <c r="U232" s="6">
        <f t="shared" si="6"/>
        <v>5</v>
      </c>
      <c r="V232" s="51" t="str">
        <f>IFERROR(Recipes[[#This Row],[Selected Name]], "")</f>
        <v/>
      </c>
      <c r="W232" s="51" t="str">
        <f>IFERROR(Recipes[[#This Row],[Selected Component]], "")</f>
        <v/>
      </c>
      <c r="X232" s="52" t="str">
        <f>IFERROR(Recipes[[#This Row],[Selected Quantity]], "")</f>
        <v/>
      </c>
      <c r="Z232" s="53">
        <f t="shared" si="7"/>
        <v>6</v>
      </c>
      <c r="AA232" s="51" t="str">
        <f>IFERROR(Recipes2[[#This Row],[Selected Component]], "")</f>
        <v/>
      </c>
      <c r="AB232" s="51" t="str">
        <f>IFERROR(Recipes2[[#This Row],[Selected Name]], "")</f>
        <v/>
      </c>
      <c r="AC232" s="52" t="str">
        <f>IFERROR(Recipes2[[#This Row],[Selected Quantity]], "")</f>
        <v/>
      </c>
    </row>
    <row r="233" spans="21:29" x14ac:dyDescent="0.25">
      <c r="U233" s="6">
        <f t="shared" si="6"/>
        <v>5</v>
      </c>
      <c r="V233" s="51" t="str">
        <f>IFERROR(Recipes[[#This Row],[Selected Name]], "")</f>
        <v/>
      </c>
      <c r="W233" s="51" t="str">
        <f>IFERROR(Recipes[[#This Row],[Selected Component]], "")</f>
        <v/>
      </c>
      <c r="X233" s="52" t="str">
        <f>IFERROR(Recipes[[#This Row],[Selected Quantity]], "")</f>
        <v/>
      </c>
      <c r="Z233" s="53">
        <f t="shared" si="7"/>
        <v>6</v>
      </c>
      <c r="AA233" s="51" t="str">
        <f>IFERROR(Recipes2[[#This Row],[Selected Component]], "")</f>
        <v/>
      </c>
      <c r="AB233" s="51" t="str">
        <f>IFERROR(Recipes2[[#This Row],[Selected Name]], "")</f>
        <v/>
      </c>
      <c r="AC233" s="52" t="str">
        <f>IFERROR(Recipes2[[#This Row],[Selected Quantity]], "")</f>
        <v/>
      </c>
    </row>
    <row r="234" spans="21:29" x14ac:dyDescent="0.25">
      <c r="U234" s="6">
        <f t="shared" si="6"/>
        <v>5</v>
      </c>
      <c r="V234" s="51" t="str">
        <f>IFERROR(Recipes[[#This Row],[Selected Name]], "")</f>
        <v/>
      </c>
      <c r="W234" s="51" t="str">
        <f>IFERROR(Recipes[[#This Row],[Selected Component]], "")</f>
        <v/>
      </c>
      <c r="X234" s="52" t="str">
        <f>IFERROR(Recipes[[#This Row],[Selected Quantity]], "")</f>
        <v/>
      </c>
      <c r="Z234" s="53">
        <f t="shared" si="7"/>
        <v>6</v>
      </c>
      <c r="AA234" s="51" t="str">
        <f>IFERROR(Recipes2[[#This Row],[Selected Component]], "")</f>
        <v/>
      </c>
      <c r="AB234" s="51" t="str">
        <f>IFERROR(Recipes2[[#This Row],[Selected Name]], "")</f>
        <v/>
      </c>
      <c r="AC234" s="52" t="str">
        <f>IFERROR(Recipes2[[#This Row],[Selected Quantity]], "")</f>
        <v/>
      </c>
    </row>
    <row r="235" spans="21:29" x14ac:dyDescent="0.25">
      <c r="U235" s="6">
        <f t="shared" si="6"/>
        <v>5</v>
      </c>
      <c r="V235" s="51" t="str">
        <f>IFERROR(Recipes[[#This Row],[Selected Name]], "")</f>
        <v/>
      </c>
      <c r="W235" s="51" t="str">
        <f>IFERROR(Recipes[[#This Row],[Selected Component]], "")</f>
        <v/>
      </c>
      <c r="X235" s="52" t="str">
        <f>IFERROR(Recipes[[#This Row],[Selected Quantity]], "")</f>
        <v/>
      </c>
      <c r="Z235" s="53">
        <f t="shared" si="7"/>
        <v>6</v>
      </c>
      <c r="AA235" s="51" t="str">
        <f>IFERROR(Recipes2[[#This Row],[Selected Component]], "")</f>
        <v/>
      </c>
      <c r="AB235" s="51" t="str">
        <f>IFERROR(Recipes2[[#This Row],[Selected Name]], "")</f>
        <v/>
      </c>
      <c r="AC235" s="52" t="str">
        <f>IFERROR(Recipes2[[#This Row],[Selected Quantity]], "")</f>
        <v/>
      </c>
    </row>
    <row r="236" spans="21:29" x14ac:dyDescent="0.25">
      <c r="U236" s="6">
        <f t="shared" si="6"/>
        <v>5</v>
      </c>
      <c r="V236" s="51" t="str">
        <f>IFERROR(Recipes[[#This Row],[Selected Name]], "")</f>
        <v/>
      </c>
      <c r="W236" s="51" t="str">
        <f>IFERROR(Recipes[[#This Row],[Selected Component]], "")</f>
        <v/>
      </c>
      <c r="X236" s="52" t="str">
        <f>IFERROR(Recipes[[#This Row],[Selected Quantity]], "")</f>
        <v/>
      </c>
      <c r="Z236" s="53">
        <f t="shared" si="7"/>
        <v>6</v>
      </c>
      <c r="AA236" s="51" t="str">
        <f>IFERROR(Recipes2[[#This Row],[Selected Component]], "")</f>
        <v/>
      </c>
      <c r="AB236" s="51" t="str">
        <f>IFERROR(Recipes2[[#This Row],[Selected Name]], "")</f>
        <v/>
      </c>
      <c r="AC236" s="52" t="str">
        <f>IFERROR(Recipes2[[#This Row],[Selected Quantity]], "")</f>
        <v/>
      </c>
    </row>
    <row r="237" spans="21:29" x14ac:dyDescent="0.25">
      <c r="U237" s="6">
        <f t="shared" si="6"/>
        <v>5</v>
      </c>
      <c r="V237" s="51" t="str">
        <f>IFERROR(Recipes[[#This Row],[Selected Name]], "")</f>
        <v/>
      </c>
      <c r="W237" s="51" t="str">
        <f>IFERROR(Recipes[[#This Row],[Selected Component]], "")</f>
        <v/>
      </c>
      <c r="X237" s="52" t="str">
        <f>IFERROR(Recipes[[#This Row],[Selected Quantity]], "")</f>
        <v/>
      </c>
      <c r="Z237" s="53">
        <f t="shared" si="7"/>
        <v>6</v>
      </c>
      <c r="AA237" s="51" t="str">
        <f>IFERROR(Recipes2[[#This Row],[Selected Component]], "")</f>
        <v/>
      </c>
      <c r="AB237" s="51" t="str">
        <f>IFERROR(Recipes2[[#This Row],[Selected Name]], "")</f>
        <v/>
      </c>
      <c r="AC237" s="52" t="str">
        <f>IFERROR(Recipes2[[#This Row],[Selected Quantity]], "")</f>
        <v/>
      </c>
    </row>
    <row r="238" spans="21:29" x14ac:dyDescent="0.25">
      <c r="U238" s="6">
        <f t="shared" si="6"/>
        <v>5</v>
      </c>
      <c r="V238" s="51" t="str">
        <f>IFERROR(Recipes[[#This Row],[Selected Name]], "")</f>
        <v/>
      </c>
      <c r="W238" s="51" t="str">
        <f>IFERROR(Recipes[[#This Row],[Selected Component]], "")</f>
        <v/>
      </c>
      <c r="X238" s="52" t="str">
        <f>IFERROR(Recipes[[#This Row],[Selected Quantity]], "")</f>
        <v/>
      </c>
      <c r="Z238" s="53">
        <f t="shared" si="7"/>
        <v>6</v>
      </c>
      <c r="AA238" s="51" t="str">
        <f>IFERROR(Recipes2[[#This Row],[Selected Component]], "")</f>
        <v/>
      </c>
      <c r="AB238" s="51" t="str">
        <f>IFERROR(Recipes2[[#This Row],[Selected Name]], "")</f>
        <v/>
      </c>
      <c r="AC238" s="52" t="str">
        <f>IFERROR(Recipes2[[#This Row],[Selected Quantity]], "")</f>
        <v/>
      </c>
    </row>
    <row r="239" spans="21:29" x14ac:dyDescent="0.25">
      <c r="U239" s="6">
        <f t="shared" si="6"/>
        <v>5</v>
      </c>
      <c r="V239" s="51" t="str">
        <f>IFERROR(Recipes[[#This Row],[Selected Name]], "")</f>
        <v/>
      </c>
      <c r="W239" s="51" t="str">
        <f>IFERROR(Recipes[[#This Row],[Selected Component]], "")</f>
        <v/>
      </c>
      <c r="X239" s="52" t="str">
        <f>IFERROR(Recipes[[#This Row],[Selected Quantity]], "")</f>
        <v/>
      </c>
      <c r="Z239" s="53">
        <f t="shared" si="7"/>
        <v>6</v>
      </c>
      <c r="AA239" s="51" t="str">
        <f>IFERROR(Recipes2[[#This Row],[Selected Component]], "")</f>
        <v/>
      </c>
      <c r="AB239" s="51" t="str">
        <f>IFERROR(Recipes2[[#This Row],[Selected Name]], "")</f>
        <v/>
      </c>
      <c r="AC239" s="52" t="str">
        <f>IFERROR(Recipes2[[#This Row],[Selected Quantity]], "")</f>
        <v/>
      </c>
    </row>
    <row r="240" spans="21:29" x14ac:dyDescent="0.25">
      <c r="U240" s="6">
        <f t="shared" si="6"/>
        <v>5</v>
      </c>
      <c r="V240" s="51" t="str">
        <f>IFERROR(Recipes[[#This Row],[Selected Name]], "")</f>
        <v/>
      </c>
      <c r="W240" s="51" t="str">
        <f>IFERROR(Recipes[[#This Row],[Selected Component]], "")</f>
        <v/>
      </c>
      <c r="X240" s="52" t="str">
        <f>IFERROR(Recipes[[#This Row],[Selected Quantity]], "")</f>
        <v/>
      </c>
      <c r="Z240" s="53">
        <f t="shared" si="7"/>
        <v>6</v>
      </c>
      <c r="AA240" s="51" t="str">
        <f>IFERROR(Recipes2[[#This Row],[Selected Component]], "")</f>
        <v/>
      </c>
      <c r="AB240" s="51" t="str">
        <f>IFERROR(Recipes2[[#This Row],[Selected Name]], "")</f>
        <v/>
      </c>
      <c r="AC240" s="52" t="str">
        <f>IFERROR(Recipes2[[#This Row],[Selected Quantity]], "")</f>
        <v/>
      </c>
    </row>
    <row r="241" spans="21:29" x14ac:dyDescent="0.25">
      <c r="U241" s="6">
        <f t="shared" si="6"/>
        <v>5</v>
      </c>
      <c r="V241" s="51" t="str">
        <f>IFERROR(Recipes[[#This Row],[Selected Name]], "")</f>
        <v/>
      </c>
      <c r="W241" s="51" t="str">
        <f>IFERROR(Recipes[[#This Row],[Selected Component]], "")</f>
        <v/>
      </c>
      <c r="X241" s="52" t="str">
        <f>IFERROR(Recipes[[#This Row],[Selected Quantity]], "")</f>
        <v/>
      </c>
      <c r="Z241" s="53">
        <f t="shared" si="7"/>
        <v>6</v>
      </c>
      <c r="AA241" s="51" t="str">
        <f>IFERROR(Recipes2[[#This Row],[Selected Component]], "")</f>
        <v/>
      </c>
      <c r="AB241" s="51" t="str">
        <f>IFERROR(Recipes2[[#This Row],[Selected Name]], "")</f>
        <v/>
      </c>
      <c r="AC241" s="52" t="str">
        <f>IFERROR(Recipes2[[#This Row],[Selected Quantity]], "")</f>
        <v/>
      </c>
    </row>
    <row r="242" spans="21:29" x14ac:dyDescent="0.25">
      <c r="U242" s="6">
        <f t="shared" si="6"/>
        <v>5</v>
      </c>
      <c r="V242" s="51" t="str">
        <f>IFERROR(Recipes[[#This Row],[Selected Name]], "")</f>
        <v/>
      </c>
      <c r="W242" s="51" t="str">
        <f>IFERROR(Recipes[[#This Row],[Selected Component]], "")</f>
        <v/>
      </c>
      <c r="X242" s="52" t="str">
        <f>IFERROR(Recipes[[#This Row],[Selected Quantity]], "")</f>
        <v/>
      </c>
      <c r="Z242" s="53">
        <f t="shared" si="7"/>
        <v>6</v>
      </c>
      <c r="AA242" s="51" t="str">
        <f>IFERROR(Recipes2[[#This Row],[Selected Component]], "")</f>
        <v/>
      </c>
      <c r="AB242" s="51" t="str">
        <f>IFERROR(Recipes2[[#This Row],[Selected Name]], "")</f>
        <v/>
      </c>
      <c r="AC242" s="52" t="str">
        <f>IFERROR(Recipes2[[#This Row],[Selected Quantity]], "")</f>
        <v/>
      </c>
    </row>
    <row r="243" spans="21:29" x14ac:dyDescent="0.25">
      <c r="U243" s="6">
        <f t="shared" si="6"/>
        <v>5</v>
      </c>
      <c r="V243" s="51" t="str">
        <f>IFERROR(Recipes[[#This Row],[Selected Name]], "")</f>
        <v/>
      </c>
      <c r="W243" s="51" t="str">
        <f>IFERROR(Recipes[[#This Row],[Selected Component]], "")</f>
        <v/>
      </c>
      <c r="X243" s="52" t="str">
        <f>IFERROR(Recipes[[#This Row],[Selected Quantity]], "")</f>
        <v/>
      </c>
      <c r="Z243" s="53">
        <f t="shared" si="7"/>
        <v>6</v>
      </c>
      <c r="AA243" s="51" t="str">
        <f>IFERROR(Recipes2[[#This Row],[Selected Component]], "")</f>
        <v/>
      </c>
      <c r="AB243" s="51" t="str">
        <f>IFERROR(Recipes2[[#This Row],[Selected Name]], "")</f>
        <v/>
      </c>
      <c r="AC243" s="52" t="str">
        <f>IFERROR(Recipes2[[#This Row],[Selected Quantity]], "")</f>
        <v/>
      </c>
    </row>
    <row r="244" spans="21:29" x14ac:dyDescent="0.25">
      <c r="U244" s="6">
        <f t="shared" si="6"/>
        <v>5</v>
      </c>
      <c r="V244" s="51" t="str">
        <f>IFERROR(Recipes[[#This Row],[Selected Name]], "")</f>
        <v/>
      </c>
      <c r="W244" s="51" t="str">
        <f>IFERROR(Recipes[[#This Row],[Selected Component]], "")</f>
        <v/>
      </c>
      <c r="X244" s="52" t="str">
        <f>IFERROR(Recipes[[#This Row],[Selected Quantity]], "")</f>
        <v/>
      </c>
      <c r="Z244" s="53">
        <f t="shared" si="7"/>
        <v>6</v>
      </c>
      <c r="AA244" s="51" t="str">
        <f>IFERROR(Recipes2[[#This Row],[Selected Component]], "")</f>
        <v/>
      </c>
      <c r="AB244" s="51" t="str">
        <f>IFERROR(Recipes2[[#This Row],[Selected Name]], "")</f>
        <v/>
      </c>
      <c r="AC244" s="52" t="str">
        <f>IFERROR(Recipes2[[#This Row],[Selected Quantity]], "")</f>
        <v/>
      </c>
    </row>
    <row r="245" spans="21:29" x14ac:dyDescent="0.25">
      <c r="U245" s="6">
        <f t="shared" si="6"/>
        <v>5</v>
      </c>
      <c r="V245" s="51" t="str">
        <f>IFERROR(Recipes[[#This Row],[Selected Name]], "")</f>
        <v/>
      </c>
      <c r="W245" s="51" t="str">
        <f>IFERROR(Recipes[[#This Row],[Selected Component]], "")</f>
        <v/>
      </c>
      <c r="X245" s="52" t="str">
        <f>IFERROR(Recipes[[#This Row],[Selected Quantity]], "")</f>
        <v/>
      </c>
      <c r="Z245" s="53">
        <f t="shared" si="7"/>
        <v>6</v>
      </c>
      <c r="AA245" s="51" t="str">
        <f>IFERROR(Recipes2[[#This Row],[Selected Component]], "")</f>
        <v/>
      </c>
      <c r="AB245" s="51" t="str">
        <f>IFERROR(Recipes2[[#This Row],[Selected Name]], "")</f>
        <v/>
      </c>
      <c r="AC245" s="52" t="str">
        <f>IFERROR(Recipes2[[#This Row],[Selected Quantity]], "")</f>
        <v/>
      </c>
    </row>
    <row r="246" spans="21:29" x14ac:dyDescent="0.25">
      <c r="U246" s="6">
        <f t="shared" si="6"/>
        <v>5</v>
      </c>
      <c r="V246" s="51" t="str">
        <f>IFERROR(Recipes[[#This Row],[Selected Name]], "")</f>
        <v/>
      </c>
      <c r="W246" s="51" t="str">
        <f>IFERROR(Recipes[[#This Row],[Selected Component]], "")</f>
        <v/>
      </c>
      <c r="X246" s="52" t="str">
        <f>IFERROR(Recipes[[#This Row],[Selected Quantity]], "")</f>
        <v/>
      </c>
      <c r="Z246" s="53">
        <f t="shared" si="7"/>
        <v>6</v>
      </c>
      <c r="AA246" s="51" t="str">
        <f>IFERROR(Recipes2[[#This Row],[Selected Component]], "")</f>
        <v/>
      </c>
      <c r="AB246" s="51" t="str">
        <f>IFERROR(Recipes2[[#This Row],[Selected Name]], "")</f>
        <v/>
      </c>
      <c r="AC246" s="52" t="str">
        <f>IFERROR(Recipes2[[#This Row],[Selected Quantity]], "")</f>
        <v/>
      </c>
    </row>
    <row r="247" spans="21:29" x14ac:dyDescent="0.25">
      <c r="U247" s="6">
        <f t="shared" si="6"/>
        <v>5</v>
      </c>
      <c r="V247" s="51" t="str">
        <f>IFERROR(Recipes[[#This Row],[Selected Name]], "")</f>
        <v/>
      </c>
      <c r="W247" s="51" t="str">
        <f>IFERROR(Recipes[[#This Row],[Selected Component]], "")</f>
        <v/>
      </c>
      <c r="X247" s="52" t="str">
        <f>IFERROR(Recipes[[#This Row],[Selected Quantity]], "")</f>
        <v/>
      </c>
      <c r="Z247" s="53">
        <f t="shared" si="7"/>
        <v>6</v>
      </c>
      <c r="AA247" s="51" t="str">
        <f>IFERROR(Recipes2[[#This Row],[Selected Component]], "")</f>
        <v/>
      </c>
      <c r="AB247" s="51" t="str">
        <f>IFERROR(Recipes2[[#This Row],[Selected Name]], "")</f>
        <v/>
      </c>
      <c r="AC247" s="52" t="str">
        <f>IFERROR(Recipes2[[#This Row],[Selected Quantity]], "")</f>
        <v/>
      </c>
    </row>
    <row r="248" spans="21:29" x14ac:dyDescent="0.25">
      <c r="U248" s="6">
        <f t="shared" si="6"/>
        <v>5</v>
      </c>
      <c r="V248" s="51" t="str">
        <f>IFERROR(Recipes[[#This Row],[Selected Name]], "")</f>
        <v/>
      </c>
      <c r="W248" s="51" t="str">
        <f>IFERROR(Recipes[[#This Row],[Selected Component]], "")</f>
        <v/>
      </c>
      <c r="X248" s="52" t="str">
        <f>IFERROR(Recipes[[#This Row],[Selected Quantity]], "")</f>
        <v/>
      </c>
      <c r="Z248" s="53">
        <f t="shared" si="7"/>
        <v>6</v>
      </c>
      <c r="AA248" s="51" t="str">
        <f>IFERROR(Recipes2[[#This Row],[Selected Component]], "")</f>
        <v/>
      </c>
      <c r="AB248" s="51" t="str">
        <f>IFERROR(Recipes2[[#This Row],[Selected Name]], "")</f>
        <v/>
      </c>
      <c r="AC248" s="52" t="str">
        <f>IFERROR(Recipes2[[#This Row],[Selected Quantity]], "")</f>
        <v/>
      </c>
    </row>
    <row r="249" spans="21:29" x14ac:dyDescent="0.25">
      <c r="U249" s="6">
        <f t="shared" si="6"/>
        <v>5</v>
      </c>
      <c r="V249" s="51" t="str">
        <f>IFERROR(Recipes[[#This Row],[Selected Name]], "")</f>
        <v/>
      </c>
      <c r="W249" s="51" t="str">
        <f>IFERROR(Recipes[[#This Row],[Selected Component]], "")</f>
        <v/>
      </c>
      <c r="X249" s="52" t="str">
        <f>IFERROR(Recipes[[#This Row],[Selected Quantity]], "")</f>
        <v/>
      </c>
      <c r="Z249" s="53">
        <f t="shared" si="7"/>
        <v>6</v>
      </c>
      <c r="AA249" s="51" t="str">
        <f>IFERROR(Recipes2[[#This Row],[Selected Component]], "")</f>
        <v/>
      </c>
      <c r="AB249" s="51" t="str">
        <f>IFERROR(Recipes2[[#This Row],[Selected Name]], "")</f>
        <v/>
      </c>
      <c r="AC249" s="52" t="str">
        <f>IFERROR(Recipes2[[#This Row],[Selected Quantity]], "")</f>
        <v/>
      </c>
    </row>
    <row r="250" spans="21:29" x14ac:dyDescent="0.25">
      <c r="U250" s="6">
        <f t="shared" si="6"/>
        <v>5</v>
      </c>
      <c r="V250" s="51" t="str">
        <f>IFERROR(Recipes[[#This Row],[Selected Name]], "")</f>
        <v/>
      </c>
      <c r="W250" s="51" t="str">
        <f>IFERROR(Recipes[[#This Row],[Selected Component]], "")</f>
        <v/>
      </c>
      <c r="X250" s="52" t="str">
        <f>IFERROR(Recipes[[#This Row],[Selected Quantity]], "")</f>
        <v/>
      </c>
      <c r="Z250" s="53">
        <f t="shared" si="7"/>
        <v>6</v>
      </c>
      <c r="AA250" s="51" t="str">
        <f>IFERROR(Recipes2[[#This Row],[Selected Component]], "")</f>
        <v/>
      </c>
      <c r="AB250" s="51" t="str">
        <f>IFERROR(Recipes2[[#This Row],[Selected Name]], "")</f>
        <v/>
      </c>
      <c r="AC250" s="52" t="str">
        <f>IFERROR(Recipes2[[#This Row],[Selected Quantity]], "")</f>
        <v/>
      </c>
    </row>
    <row r="251" spans="21:29" x14ac:dyDescent="0.25">
      <c r="U251" s="6">
        <f t="shared" si="6"/>
        <v>5</v>
      </c>
      <c r="V251" s="51" t="str">
        <f>IFERROR(Recipes[[#This Row],[Selected Name]], "")</f>
        <v/>
      </c>
      <c r="W251" s="51" t="str">
        <f>IFERROR(Recipes[[#This Row],[Selected Component]], "")</f>
        <v/>
      </c>
      <c r="X251" s="52" t="str">
        <f>IFERROR(Recipes[[#This Row],[Selected Quantity]], "")</f>
        <v/>
      </c>
      <c r="Z251" s="53">
        <f t="shared" si="7"/>
        <v>6</v>
      </c>
      <c r="AA251" s="51" t="str">
        <f>IFERROR(Recipes2[[#This Row],[Selected Component]], "")</f>
        <v/>
      </c>
      <c r="AB251" s="51" t="str">
        <f>IFERROR(Recipes2[[#This Row],[Selected Name]], "")</f>
        <v/>
      </c>
      <c r="AC251" s="52" t="str">
        <f>IFERROR(Recipes2[[#This Row],[Selected Quantity]], "")</f>
        <v/>
      </c>
    </row>
    <row r="252" spans="21:29" x14ac:dyDescent="0.25">
      <c r="U252" s="6">
        <f t="shared" si="6"/>
        <v>5</v>
      </c>
      <c r="V252" s="51" t="str">
        <f>IFERROR(Recipes[[#This Row],[Selected Name]], "")</f>
        <v/>
      </c>
      <c r="W252" s="51" t="str">
        <f>IFERROR(Recipes[[#This Row],[Selected Component]], "")</f>
        <v/>
      </c>
      <c r="X252" s="52" t="str">
        <f>IFERROR(Recipes[[#This Row],[Selected Quantity]], "")</f>
        <v/>
      </c>
      <c r="Z252" s="53">
        <f t="shared" si="7"/>
        <v>6</v>
      </c>
      <c r="AA252" s="51" t="str">
        <f>IFERROR(Recipes2[[#This Row],[Selected Component]], "")</f>
        <v/>
      </c>
      <c r="AB252" s="51" t="str">
        <f>IFERROR(Recipes2[[#This Row],[Selected Name]], "")</f>
        <v/>
      </c>
      <c r="AC252" s="52" t="str">
        <f>IFERROR(Recipes2[[#This Row],[Selected Quantity]], "")</f>
        <v/>
      </c>
    </row>
    <row r="253" spans="21:29" x14ac:dyDescent="0.25">
      <c r="U253" s="6">
        <f t="shared" si="6"/>
        <v>5</v>
      </c>
      <c r="V253" s="51" t="str">
        <f>IFERROR(Recipes[[#This Row],[Selected Name]], "")</f>
        <v/>
      </c>
      <c r="W253" s="51" t="str">
        <f>IFERROR(Recipes[[#This Row],[Selected Component]], "")</f>
        <v/>
      </c>
      <c r="X253" s="52" t="str">
        <f>IFERROR(Recipes[[#This Row],[Selected Quantity]], "")</f>
        <v/>
      </c>
      <c r="Z253" s="53">
        <f t="shared" si="7"/>
        <v>6</v>
      </c>
      <c r="AA253" s="51" t="str">
        <f>IFERROR(Recipes2[[#This Row],[Selected Component]], "")</f>
        <v/>
      </c>
      <c r="AB253" s="51" t="str">
        <f>IFERROR(Recipes2[[#This Row],[Selected Name]], "")</f>
        <v/>
      </c>
      <c r="AC253" s="52" t="str">
        <f>IFERROR(Recipes2[[#This Row],[Selected Quantity]], "")</f>
        <v/>
      </c>
    </row>
    <row r="254" spans="21:29" x14ac:dyDescent="0.25">
      <c r="U254" s="6">
        <f t="shared" si="6"/>
        <v>5</v>
      </c>
      <c r="V254" s="51" t="str">
        <f>IFERROR(Recipes[[#This Row],[Selected Name]], "")</f>
        <v/>
      </c>
      <c r="W254" s="51" t="str">
        <f>IFERROR(Recipes[[#This Row],[Selected Component]], "")</f>
        <v/>
      </c>
      <c r="X254" s="52" t="str">
        <f>IFERROR(Recipes[[#This Row],[Selected Quantity]], "")</f>
        <v/>
      </c>
      <c r="Z254" s="53">
        <f t="shared" si="7"/>
        <v>6</v>
      </c>
      <c r="AA254" s="51" t="str">
        <f>IFERROR(Recipes2[[#This Row],[Selected Component]], "")</f>
        <v/>
      </c>
      <c r="AB254" s="51" t="str">
        <f>IFERROR(Recipes2[[#This Row],[Selected Name]], "")</f>
        <v/>
      </c>
      <c r="AC254" s="52" t="str">
        <f>IFERROR(Recipes2[[#This Row],[Selected Quantity]], "")</f>
        <v/>
      </c>
    </row>
    <row r="255" spans="21:29" x14ac:dyDescent="0.25">
      <c r="U255" s="6">
        <f t="shared" si="6"/>
        <v>5</v>
      </c>
      <c r="V255" s="51" t="str">
        <f>IFERROR(Recipes[[#This Row],[Selected Name]], "")</f>
        <v/>
      </c>
      <c r="W255" s="51" t="str">
        <f>IFERROR(Recipes[[#This Row],[Selected Component]], "")</f>
        <v/>
      </c>
      <c r="X255" s="52" t="str">
        <f>IFERROR(Recipes[[#This Row],[Selected Quantity]], "")</f>
        <v/>
      </c>
      <c r="Z255" s="53">
        <f t="shared" si="7"/>
        <v>6</v>
      </c>
      <c r="AA255" s="51" t="str">
        <f>IFERROR(Recipes2[[#This Row],[Selected Component]], "")</f>
        <v/>
      </c>
      <c r="AB255" s="51" t="str">
        <f>IFERROR(Recipes2[[#This Row],[Selected Name]], "")</f>
        <v/>
      </c>
      <c r="AC255" s="52" t="str">
        <f>IFERROR(Recipes2[[#This Row],[Selected Quantity]], "")</f>
        <v/>
      </c>
    </row>
    <row r="256" spans="21:29" x14ac:dyDescent="0.25">
      <c r="U256" s="6">
        <f t="shared" si="6"/>
        <v>5</v>
      </c>
      <c r="V256" s="51" t="str">
        <f>IFERROR(Recipes[[#This Row],[Selected Name]], "")</f>
        <v/>
      </c>
      <c r="W256" s="51" t="str">
        <f>IFERROR(Recipes[[#This Row],[Selected Component]], "")</f>
        <v/>
      </c>
      <c r="X256" s="52" t="str">
        <f>IFERROR(Recipes[[#This Row],[Selected Quantity]], "")</f>
        <v/>
      </c>
      <c r="Z256" s="53">
        <f t="shared" si="7"/>
        <v>6</v>
      </c>
      <c r="AA256" s="51" t="str">
        <f>IFERROR(Recipes2[[#This Row],[Selected Component]], "")</f>
        <v/>
      </c>
      <c r="AB256" s="51" t="str">
        <f>IFERROR(Recipes2[[#This Row],[Selected Name]], "")</f>
        <v/>
      </c>
      <c r="AC256" s="52" t="str">
        <f>IFERROR(Recipes2[[#This Row],[Selected Quantity]], "")</f>
        <v/>
      </c>
    </row>
    <row r="257" spans="21:29" x14ac:dyDescent="0.25">
      <c r="U257" s="6">
        <f t="shared" si="6"/>
        <v>5</v>
      </c>
      <c r="V257" s="51" t="str">
        <f>IFERROR(Recipes[[#This Row],[Selected Name]], "")</f>
        <v/>
      </c>
      <c r="W257" s="51" t="str">
        <f>IFERROR(Recipes[[#This Row],[Selected Component]], "")</f>
        <v/>
      </c>
      <c r="X257" s="52" t="str">
        <f>IFERROR(Recipes[[#This Row],[Selected Quantity]], "")</f>
        <v/>
      </c>
      <c r="Z257" s="53">
        <f t="shared" si="7"/>
        <v>6</v>
      </c>
      <c r="AA257" s="51" t="str">
        <f>IFERROR(Recipes2[[#This Row],[Selected Component]], "")</f>
        <v/>
      </c>
      <c r="AB257" s="51" t="str">
        <f>IFERROR(Recipes2[[#This Row],[Selected Name]], "")</f>
        <v/>
      </c>
      <c r="AC257" s="52" t="str">
        <f>IFERROR(Recipes2[[#This Row],[Selected Quantity]], "")</f>
        <v/>
      </c>
    </row>
    <row r="258" spans="21:29" x14ac:dyDescent="0.25">
      <c r="U258" s="6">
        <f t="shared" ref="U258:U300" si="8">IF(V258 = V257, U257, U257 + 1)</f>
        <v>5</v>
      </c>
      <c r="V258" s="51" t="str">
        <f>IFERROR(Recipes[[#This Row],[Selected Name]], "")</f>
        <v/>
      </c>
      <c r="W258" s="51" t="str">
        <f>IFERROR(Recipes[[#This Row],[Selected Component]], "")</f>
        <v/>
      </c>
      <c r="X258" s="52" t="str">
        <f>IFERROR(Recipes[[#This Row],[Selected Quantity]], "")</f>
        <v/>
      </c>
      <c r="Z258" s="53">
        <f t="shared" ref="Z258:Z300" si="9">IF(AA258 = AA257, Z257, Z257 + 1)</f>
        <v>6</v>
      </c>
      <c r="AA258" s="51" t="str">
        <f>IFERROR(Recipes2[[#This Row],[Selected Component]], "")</f>
        <v/>
      </c>
      <c r="AB258" s="51" t="str">
        <f>IFERROR(Recipes2[[#This Row],[Selected Name]], "")</f>
        <v/>
      </c>
      <c r="AC258" s="52" t="str">
        <f>IFERROR(Recipes2[[#This Row],[Selected Quantity]], "")</f>
        <v/>
      </c>
    </row>
    <row r="259" spans="21:29" x14ac:dyDescent="0.25">
      <c r="U259" s="6">
        <f t="shared" si="8"/>
        <v>5</v>
      </c>
      <c r="V259" s="51" t="str">
        <f>IFERROR(Recipes[[#This Row],[Selected Name]], "")</f>
        <v/>
      </c>
      <c r="W259" s="51" t="str">
        <f>IFERROR(Recipes[[#This Row],[Selected Component]], "")</f>
        <v/>
      </c>
      <c r="X259" s="52" t="str">
        <f>IFERROR(Recipes[[#This Row],[Selected Quantity]], "")</f>
        <v/>
      </c>
      <c r="Z259" s="53">
        <f t="shared" si="9"/>
        <v>6</v>
      </c>
      <c r="AA259" s="51" t="str">
        <f>IFERROR(Recipes2[[#This Row],[Selected Component]], "")</f>
        <v/>
      </c>
      <c r="AB259" s="51" t="str">
        <f>IFERROR(Recipes2[[#This Row],[Selected Name]], "")</f>
        <v/>
      </c>
      <c r="AC259" s="52" t="str">
        <f>IFERROR(Recipes2[[#This Row],[Selected Quantity]], "")</f>
        <v/>
      </c>
    </row>
    <row r="260" spans="21:29" x14ac:dyDescent="0.25">
      <c r="U260" s="6">
        <f t="shared" si="8"/>
        <v>5</v>
      </c>
      <c r="V260" s="51" t="str">
        <f>IFERROR(Recipes[[#This Row],[Selected Name]], "")</f>
        <v/>
      </c>
      <c r="W260" s="51" t="str">
        <f>IFERROR(Recipes[[#This Row],[Selected Component]], "")</f>
        <v/>
      </c>
      <c r="X260" s="52" t="str">
        <f>IFERROR(Recipes[[#This Row],[Selected Quantity]], "")</f>
        <v/>
      </c>
      <c r="Z260" s="53">
        <f t="shared" si="9"/>
        <v>6</v>
      </c>
      <c r="AA260" s="51" t="str">
        <f>IFERROR(Recipes2[[#This Row],[Selected Component]], "")</f>
        <v/>
      </c>
      <c r="AB260" s="51" t="str">
        <f>IFERROR(Recipes2[[#This Row],[Selected Name]], "")</f>
        <v/>
      </c>
      <c r="AC260" s="52" t="str">
        <f>IFERROR(Recipes2[[#This Row],[Selected Quantity]], "")</f>
        <v/>
      </c>
    </row>
    <row r="261" spans="21:29" x14ac:dyDescent="0.25">
      <c r="U261" s="6">
        <f t="shared" si="8"/>
        <v>5</v>
      </c>
      <c r="V261" s="51" t="str">
        <f>IFERROR(Recipes[[#This Row],[Selected Name]], "")</f>
        <v/>
      </c>
      <c r="W261" s="51" t="str">
        <f>IFERROR(Recipes[[#This Row],[Selected Component]], "")</f>
        <v/>
      </c>
      <c r="X261" s="52" t="str">
        <f>IFERROR(Recipes[[#This Row],[Selected Quantity]], "")</f>
        <v/>
      </c>
      <c r="Z261" s="53">
        <f t="shared" si="9"/>
        <v>6</v>
      </c>
      <c r="AA261" s="51" t="str">
        <f>IFERROR(Recipes2[[#This Row],[Selected Component]], "")</f>
        <v/>
      </c>
      <c r="AB261" s="51" t="str">
        <f>IFERROR(Recipes2[[#This Row],[Selected Name]], "")</f>
        <v/>
      </c>
      <c r="AC261" s="52" t="str">
        <f>IFERROR(Recipes2[[#This Row],[Selected Quantity]], "")</f>
        <v/>
      </c>
    </row>
    <row r="262" spans="21:29" x14ac:dyDescent="0.25">
      <c r="U262" s="6">
        <f t="shared" si="8"/>
        <v>5</v>
      </c>
      <c r="V262" s="51" t="str">
        <f>IFERROR(Recipes[[#This Row],[Selected Name]], "")</f>
        <v/>
      </c>
      <c r="W262" s="51" t="str">
        <f>IFERROR(Recipes[[#This Row],[Selected Component]], "")</f>
        <v/>
      </c>
      <c r="X262" s="52" t="str">
        <f>IFERROR(Recipes[[#This Row],[Selected Quantity]], "")</f>
        <v/>
      </c>
      <c r="Z262" s="53">
        <f t="shared" si="9"/>
        <v>6</v>
      </c>
      <c r="AA262" s="51" t="str">
        <f>IFERROR(Recipes2[[#This Row],[Selected Component]], "")</f>
        <v/>
      </c>
      <c r="AB262" s="51" t="str">
        <f>IFERROR(Recipes2[[#This Row],[Selected Name]], "")</f>
        <v/>
      </c>
      <c r="AC262" s="52" t="str">
        <f>IFERROR(Recipes2[[#This Row],[Selected Quantity]], "")</f>
        <v/>
      </c>
    </row>
    <row r="263" spans="21:29" x14ac:dyDescent="0.25">
      <c r="U263" s="6">
        <f t="shared" si="8"/>
        <v>5</v>
      </c>
      <c r="V263" s="51" t="str">
        <f>IFERROR(Recipes[[#This Row],[Selected Name]], "")</f>
        <v/>
      </c>
      <c r="W263" s="51" t="str">
        <f>IFERROR(Recipes[[#This Row],[Selected Component]], "")</f>
        <v/>
      </c>
      <c r="X263" s="52" t="str">
        <f>IFERROR(Recipes[[#This Row],[Selected Quantity]], "")</f>
        <v/>
      </c>
      <c r="Z263" s="53">
        <f t="shared" si="9"/>
        <v>6</v>
      </c>
      <c r="AA263" s="51" t="str">
        <f>IFERROR(Recipes2[[#This Row],[Selected Component]], "")</f>
        <v/>
      </c>
      <c r="AB263" s="51" t="str">
        <f>IFERROR(Recipes2[[#This Row],[Selected Name]], "")</f>
        <v/>
      </c>
      <c r="AC263" s="52" t="str">
        <f>IFERROR(Recipes2[[#This Row],[Selected Quantity]], "")</f>
        <v/>
      </c>
    </row>
    <row r="264" spans="21:29" x14ac:dyDescent="0.25">
      <c r="U264" s="6">
        <f t="shared" si="8"/>
        <v>5</v>
      </c>
      <c r="V264" s="51" t="str">
        <f>IFERROR(Recipes[[#This Row],[Selected Name]], "")</f>
        <v/>
      </c>
      <c r="W264" s="51" t="str">
        <f>IFERROR(Recipes[[#This Row],[Selected Component]], "")</f>
        <v/>
      </c>
      <c r="X264" s="52" t="str">
        <f>IFERROR(Recipes[[#This Row],[Selected Quantity]], "")</f>
        <v/>
      </c>
      <c r="Z264" s="53">
        <f t="shared" si="9"/>
        <v>6</v>
      </c>
      <c r="AA264" s="51" t="str">
        <f>IFERROR(Recipes2[[#This Row],[Selected Component]], "")</f>
        <v/>
      </c>
      <c r="AB264" s="51" t="str">
        <f>IFERROR(Recipes2[[#This Row],[Selected Name]], "")</f>
        <v/>
      </c>
      <c r="AC264" s="52" t="str">
        <f>IFERROR(Recipes2[[#This Row],[Selected Quantity]], "")</f>
        <v/>
      </c>
    </row>
    <row r="265" spans="21:29" x14ac:dyDescent="0.25">
      <c r="U265" s="6">
        <f t="shared" si="8"/>
        <v>5</v>
      </c>
      <c r="V265" s="51" t="str">
        <f>IFERROR(Recipes[[#This Row],[Selected Name]], "")</f>
        <v/>
      </c>
      <c r="W265" s="51" t="str">
        <f>IFERROR(Recipes[[#This Row],[Selected Component]], "")</f>
        <v/>
      </c>
      <c r="X265" s="52" t="str">
        <f>IFERROR(Recipes[[#This Row],[Selected Quantity]], "")</f>
        <v/>
      </c>
      <c r="Z265" s="53">
        <f t="shared" si="9"/>
        <v>6</v>
      </c>
      <c r="AA265" s="51" t="str">
        <f>IFERROR(Recipes2[[#This Row],[Selected Component]], "")</f>
        <v/>
      </c>
      <c r="AB265" s="51" t="str">
        <f>IFERROR(Recipes2[[#This Row],[Selected Name]], "")</f>
        <v/>
      </c>
      <c r="AC265" s="52" t="str">
        <f>IFERROR(Recipes2[[#This Row],[Selected Quantity]], "")</f>
        <v/>
      </c>
    </row>
    <row r="266" spans="21:29" x14ac:dyDescent="0.25">
      <c r="U266" s="6">
        <f t="shared" si="8"/>
        <v>5</v>
      </c>
      <c r="V266" s="51" t="str">
        <f>IFERROR(Recipes[[#This Row],[Selected Name]], "")</f>
        <v/>
      </c>
      <c r="W266" s="51" t="str">
        <f>IFERROR(Recipes[[#This Row],[Selected Component]], "")</f>
        <v/>
      </c>
      <c r="X266" s="52" t="str">
        <f>IFERROR(Recipes[[#This Row],[Selected Quantity]], "")</f>
        <v/>
      </c>
      <c r="Z266" s="53">
        <f t="shared" si="9"/>
        <v>6</v>
      </c>
      <c r="AA266" s="51" t="str">
        <f>IFERROR(Recipes2[[#This Row],[Selected Component]], "")</f>
        <v/>
      </c>
      <c r="AB266" s="51" t="str">
        <f>IFERROR(Recipes2[[#This Row],[Selected Name]], "")</f>
        <v/>
      </c>
      <c r="AC266" s="52" t="str">
        <f>IFERROR(Recipes2[[#This Row],[Selected Quantity]], "")</f>
        <v/>
      </c>
    </row>
    <row r="267" spans="21:29" x14ac:dyDescent="0.25">
      <c r="U267" s="6">
        <f t="shared" si="8"/>
        <v>5</v>
      </c>
      <c r="V267" s="51" t="str">
        <f>IFERROR(Recipes[[#This Row],[Selected Name]], "")</f>
        <v/>
      </c>
      <c r="W267" s="51" t="str">
        <f>IFERROR(Recipes[[#This Row],[Selected Component]], "")</f>
        <v/>
      </c>
      <c r="X267" s="52" t="str">
        <f>IFERROR(Recipes[[#This Row],[Selected Quantity]], "")</f>
        <v/>
      </c>
      <c r="Z267" s="53">
        <f t="shared" si="9"/>
        <v>6</v>
      </c>
      <c r="AA267" s="51" t="str">
        <f>IFERROR(Recipes2[[#This Row],[Selected Component]], "")</f>
        <v/>
      </c>
      <c r="AB267" s="51" t="str">
        <f>IFERROR(Recipes2[[#This Row],[Selected Name]], "")</f>
        <v/>
      </c>
      <c r="AC267" s="52" t="str">
        <f>IFERROR(Recipes2[[#This Row],[Selected Quantity]], "")</f>
        <v/>
      </c>
    </row>
    <row r="268" spans="21:29" x14ac:dyDescent="0.25">
      <c r="U268" s="6">
        <f t="shared" si="8"/>
        <v>5</v>
      </c>
      <c r="V268" s="51" t="str">
        <f>IFERROR(Recipes[[#This Row],[Selected Name]], "")</f>
        <v/>
      </c>
      <c r="W268" s="51" t="str">
        <f>IFERROR(Recipes[[#This Row],[Selected Component]], "")</f>
        <v/>
      </c>
      <c r="X268" s="52" t="str">
        <f>IFERROR(Recipes[[#This Row],[Selected Quantity]], "")</f>
        <v/>
      </c>
      <c r="Z268" s="53">
        <f t="shared" si="9"/>
        <v>6</v>
      </c>
      <c r="AA268" s="51" t="str">
        <f>IFERROR(Recipes2[[#This Row],[Selected Component]], "")</f>
        <v/>
      </c>
      <c r="AB268" s="51" t="str">
        <f>IFERROR(Recipes2[[#This Row],[Selected Name]], "")</f>
        <v/>
      </c>
      <c r="AC268" s="52" t="str">
        <f>IFERROR(Recipes2[[#This Row],[Selected Quantity]], "")</f>
        <v/>
      </c>
    </row>
    <row r="269" spans="21:29" x14ac:dyDescent="0.25">
      <c r="U269" s="6">
        <f t="shared" si="8"/>
        <v>5</v>
      </c>
      <c r="V269" s="51" t="str">
        <f>IFERROR(Recipes[[#This Row],[Selected Name]], "")</f>
        <v/>
      </c>
      <c r="W269" s="51" t="str">
        <f>IFERROR(Recipes[[#This Row],[Selected Component]], "")</f>
        <v/>
      </c>
      <c r="X269" s="52" t="str">
        <f>IFERROR(Recipes[[#This Row],[Selected Quantity]], "")</f>
        <v/>
      </c>
      <c r="Z269" s="53">
        <f t="shared" si="9"/>
        <v>6</v>
      </c>
      <c r="AA269" s="51" t="str">
        <f>IFERROR(Recipes2[[#This Row],[Selected Component]], "")</f>
        <v/>
      </c>
      <c r="AB269" s="51" t="str">
        <f>IFERROR(Recipes2[[#This Row],[Selected Name]], "")</f>
        <v/>
      </c>
      <c r="AC269" s="52" t="str">
        <f>IFERROR(Recipes2[[#This Row],[Selected Quantity]], "")</f>
        <v/>
      </c>
    </row>
    <row r="270" spans="21:29" x14ac:dyDescent="0.25">
      <c r="U270" s="6">
        <f t="shared" si="8"/>
        <v>5</v>
      </c>
      <c r="V270" s="51" t="str">
        <f>IFERROR(Recipes[[#This Row],[Selected Name]], "")</f>
        <v/>
      </c>
      <c r="W270" s="51" t="str">
        <f>IFERROR(Recipes[[#This Row],[Selected Component]], "")</f>
        <v/>
      </c>
      <c r="X270" s="52" t="str">
        <f>IFERROR(Recipes[[#This Row],[Selected Quantity]], "")</f>
        <v/>
      </c>
      <c r="Z270" s="53">
        <f t="shared" si="9"/>
        <v>6</v>
      </c>
      <c r="AA270" s="51" t="str">
        <f>IFERROR(Recipes2[[#This Row],[Selected Component]], "")</f>
        <v/>
      </c>
      <c r="AB270" s="51" t="str">
        <f>IFERROR(Recipes2[[#This Row],[Selected Name]], "")</f>
        <v/>
      </c>
      <c r="AC270" s="52" t="str">
        <f>IFERROR(Recipes2[[#This Row],[Selected Quantity]], "")</f>
        <v/>
      </c>
    </row>
    <row r="271" spans="21:29" x14ac:dyDescent="0.25">
      <c r="U271" s="6">
        <f t="shared" si="8"/>
        <v>5</v>
      </c>
      <c r="V271" s="51" t="str">
        <f>IFERROR(Recipes[[#This Row],[Selected Name]], "")</f>
        <v/>
      </c>
      <c r="W271" s="51" t="str">
        <f>IFERROR(Recipes[[#This Row],[Selected Component]], "")</f>
        <v/>
      </c>
      <c r="X271" s="52" t="str">
        <f>IFERROR(Recipes[[#This Row],[Selected Quantity]], "")</f>
        <v/>
      </c>
      <c r="Z271" s="53">
        <f t="shared" si="9"/>
        <v>6</v>
      </c>
      <c r="AA271" s="51" t="str">
        <f>IFERROR(Recipes2[[#This Row],[Selected Component]], "")</f>
        <v/>
      </c>
      <c r="AB271" s="51" t="str">
        <f>IFERROR(Recipes2[[#This Row],[Selected Name]], "")</f>
        <v/>
      </c>
      <c r="AC271" s="52" t="str">
        <f>IFERROR(Recipes2[[#This Row],[Selected Quantity]], "")</f>
        <v/>
      </c>
    </row>
    <row r="272" spans="21:29" x14ac:dyDescent="0.25">
      <c r="U272" s="6">
        <f t="shared" si="8"/>
        <v>5</v>
      </c>
      <c r="V272" s="51" t="str">
        <f>IFERROR(Recipes[[#This Row],[Selected Name]], "")</f>
        <v/>
      </c>
      <c r="W272" s="51" t="str">
        <f>IFERROR(Recipes[[#This Row],[Selected Component]], "")</f>
        <v/>
      </c>
      <c r="X272" s="52" t="str">
        <f>IFERROR(Recipes[[#This Row],[Selected Quantity]], "")</f>
        <v/>
      </c>
      <c r="Z272" s="53">
        <f t="shared" si="9"/>
        <v>6</v>
      </c>
      <c r="AA272" s="51" t="str">
        <f>IFERROR(Recipes2[[#This Row],[Selected Component]], "")</f>
        <v/>
      </c>
      <c r="AB272" s="51" t="str">
        <f>IFERROR(Recipes2[[#This Row],[Selected Name]], "")</f>
        <v/>
      </c>
      <c r="AC272" s="52" t="str">
        <f>IFERROR(Recipes2[[#This Row],[Selected Quantity]], "")</f>
        <v/>
      </c>
    </row>
    <row r="273" spans="21:29" x14ac:dyDescent="0.25">
      <c r="U273" s="6">
        <f t="shared" si="8"/>
        <v>5</v>
      </c>
      <c r="V273" s="51" t="str">
        <f>IFERROR(Recipes[[#This Row],[Selected Name]], "")</f>
        <v/>
      </c>
      <c r="W273" s="51" t="str">
        <f>IFERROR(Recipes[[#This Row],[Selected Component]], "")</f>
        <v/>
      </c>
      <c r="X273" s="52" t="str">
        <f>IFERROR(Recipes[[#This Row],[Selected Quantity]], "")</f>
        <v/>
      </c>
      <c r="Z273" s="53">
        <f t="shared" si="9"/>
        <v>6</v>
      </c>
      <c r="AA273" s="51" t="str">
        <f>IFERROR(Recipes2[[#This Row],[Selected Component]], "")</f>
        <v/>
      </c>
      <c r="AB273" s="51" t="str">
        <f>IFERROR(Recipes2[[#This Row],[Selected Name]], "")</f>
        <v/>
      </c>
      <c r="AC273" s="52" t="str">
        <f>IFERROR(Recipes2[[#This Row],[Selected Quantity]], "")</f>
        <v/>
      </c>
    </row>
    <row r="274" spans="21:29" x14ac:dyDescent="0.25">
      <c r="U274" s="6">
        <f t="shared" si="8"/>
        <v>5</v>
      </c>
      <c r="V274" s="51" t="str">
        <f>IFERROR(Recipes[[#This Row],[Selected Name]], "")</f>
        <v/>
      </c>
      <c r="W274" s="51" t="str">
        <f>IFERROR(Recipes[[#This Row],[Selected Component]], "")</f>
        <v/>
      </c>
      <c r="X274" s="52" t="str">
        <f>IFERROR(Recipes[[#This Row],[Selected Quantity]], "")</f>
        <v/>
      </c>
      <c r="Z274" s="53">
        <f t="shared" si="9"/>
        <v>6</v>
      </c>
      <c r="AA274" s="51" t="str">
        <f>IFERROR(Recipes2[[#This Row],[Selected Component]], "")</f>
        <v/>
      </c>
      <c r="AB274" s="51" t="str">
        <f>IFERROR(Recipes2[[#This Row],[Selected Name]], "")</f>
        <v/>
      </c>
      <c r="AC274" s="52" t="str">
        <f>IFERROR(Recipes2[[#This Row],[Selected Quantity]], "")</f>
        <v/>
      </c>
    </row>
    <row r="275" spans="21:29" x14ac:dyDescent="0.25">
      <c r="U275" s="6">
        <f t="shared" si="8"/>
        <v>5</v>
      </c>
      <c r="V275" s="51" t="str">
        <f>IFERROR(Recipes[[#This Row],[Selected Name]], "")</f>
        <v/>
      </c>
      <c r="W275" s="51" t="str">
        <f>IFERROR(Recipes[[#This Row],[Selected Component]], "")</f>
        <v/>
      </c>
      <c r="X275" s="52" t="str">
        <f>IFERROR(Recipes[[#This Row],[Selected Quantity]], "")</f>
        <v/>
      </c>
      <c r="Z275" s="53">
        <f t="shared" si="9"/>
        <v>6</v>
      </c>
      <c r="AA275" s="51" t="str">
        <f>IFERROR(Recipes2[[#This Row],[Selected Component]], "")</f>
        <v/>
      </c>
      <c r="AB275" s="51" t="str">
        <f>IFERROR(Recipes2[[#This Row],[Selected Name]], "")</f>
        <v/>
      </c>
      <c r="AC275" s="52" t="str">
        <f>IFERROR(Recipes2[[#This Row],[Selected Quantity]], "")</f>
        <v/>
      </c>
    </row>
    <row r="276" spans="21:29" x14ac:dyDescent="0.25">
      <c r="U276" s="6">
        <f t="shared" si="8"/>
        <v>5</v>
      </c>
      <c r="V276" s="51" t="str">
        <f>IFERROR(Recipes[[#This Row],[Selected Name]], "")</f>
        <v/>
      </c>
      <c r="W276" s="51" t="str">
        <f>IFERROR(Recipes[[#This Row],[Selected Component]], "")</f>
        <v/>
      </c>
      <c r="X276" s="52" t="str">
        <f>IFERROR(Recipes[[#This Row],[Selected Quantity]], "")</f>
        <v/>
      </c>
      <c r="Z276" s="53">
        <f t="shared" si="9"/>
        <v>6</v>
      </c>
      <c r="AA276" s="51" t="str">
        <f>IFERROR(Recipes2[[#This Row],[Selected Component]], "")</f>
        <v/>
      </c>
      <c r="AB276" s="51" t="str">
        <f>IFERROR(Recipes2[[#This Row],[Selected Name]], "")</f>
        <v/>
      </c>
      <c r="AC276" s="52" t="str">
        <f>IFERROR(Recipes2[[#This Row],[Selected Quantity]], "")</f>
        <v/>
      </c>
    </row>
    <row r="277" spans="21:29" x14ac:dyDescent="0.25">
      <c r="U277" s="6">
        <f t="shared" si="8"/>
        <v>5</v>
      </c>
      <c r="V277" s="51" t="str">
        <f>IFERROR(Recipes[[#This Row],[Selected Name]], "")</f>
        <v/>
      </c>
      <c r="W277" s="51" t="str">
        <f>IFERROR(Recipes[[#This Row],[Selected Component]], "")</f>
        <v/>
      </c>
      <c r="X277" s="52" t="str">
        <f>IFERROR(Recipes[[#This Row],[Selected Quantity]], "")</f>
        <v/>
      </c>
      <c r="Z277" s="53">
        <f t="shared" si="9"/>
        <v>6</v>
      </c>
      <c r="AA277" s="51" t="str">
        <f>IFERROR(Recipes2[[#This Row],[Selected Component]], "")</f>
        <v/>
      </c>
      <c r="AB277" s="51" t="str">
        <f>IFERROR(Recipes2[[#This Row],[Selected Name]], "")</f>
        <v/>
      </c>
      <c r="AC277" s="52" t="str">
        <f>IFERROR(Recipes2[[#This Row],[Selected Quantity]], "")</f>
        <v/>
      </c>
    </row>
    <row r="278" spans="21:29" x14ac:dyDescent="0.25">
      <c r="U278" s="6">
        <f t="shared" si="8"/>
        <v>5</v>
      </c>
      <c r="V278" s="51" t="str">
        <f>IFERROR(Recipes[[#This Row],[Selected Name]], "")</f>
        <v/>
      </c>
      <c r="W278" s="51" t="str">
        <f>IFERROR(Recipes[[#This Row],[Selected Component]], "")</f>
        <v/>
      </c>
      <c r="X278" s="52" t="str">
        <f>IFERROR(Recipes[[#This Row],[Selected Quantity]], "")</f>
        <v/>
      </c>
      <c r="Z278" s="53">
        <f t="shared" si="9"/>
        <v>6</v>
      </c>
      <c r="AA278" s="51" t="str">
        <f>IFERROR(Recipes2[[#This Row],[Selected Component]], "")</f>
        <v/>
      </c>
      <c r="AB278" s="51" t="str">
        <f>IFERROR(Recipes2[[#This Row],[Selected Name]], "")</f>
        <v/>
      </c>
      <c r="AC278" s="52" t="str">
        <f>IFERROR(Recipes2[[#This Row],[Selected Quantity]], "")</f>
        <v/>
      </c>
    </row>
    <row r="279" spans="21:29" x14ac:dyDescent="0.25">
      <c r="U279" s="6">
        <f t="shared" si="8"/>
        <v>5</v>
      </c>
      <c r="V279" s="51" t="str">
        <f>IFERROR(Recipes[[#This Row],[Selected Name]], "")</f>
        <v/>
      </c>
      <c r="W279" s="51" t="str">
        <f>IFERROR(Recipes[[#This Row],[Selected Component]], "")</f>
        <v/>
      </c>
      <c r="X279" s="52" t="str">
        <f>IFERROR(Recipes[[#This Row],[Selected Quantity]], "")</f>
        <v/>
      </c>
      <c r="Z279" s="53">
        <f t="shared" si="9"/>
        <v>6</v>
      </c>
      <c r="AA279" s="51" t="str">
        <f>IFERROR(Recipes2[[#This Row],[Selected Component]], "")</f>
        <v/>
      </c>
      <c r="AB279" s="51" t="str">
        <f>IFERROR(Recipes2[[#This Row],[Selected Name]], "")</f>
        <v/>
      </c>
      <c r="AC279" s="52" t="str">
        <f>IFERROR(Recipes2[[#This Row],[Selected Quantity]], "")</f>
        <v/>
      </c>
    </row>
    <row r="280" spans="21:29" x14ac:dyDescent="0.25">
      <c r="U280" s="6">
        <f t="shared" si="8"/>
        <v>5</v>
      </c>
      <c r="V280" s="51" t="str">
        <f>IFERROR(Recipes[[#This Row],[Selected Name]], "")</f>
        <v/>
      </c>
      <c r="W280" s="51" t="str">
        <f>IFERROR(Recipes[[#This Row],[Selected Component]], "")</f>
        <v/>
      </c>
      <c r="X280" s="52" t="str">
        <f>IFERROR(Recipes[[#This Row],[Selected Quantity]], "")</f>
        <v/>
      </c>
      <c r="Z280" s="53">
        <f t="shared" si="9"/>
        <v>6</v>
      </c>
      <c r="AA280" s="51" t="str">
        <f>IFERROR(Recipes2[[#This Row],[Selected Component]], "")</f>
        <v/>
      </c>
      <c r="AB280" s="51" t="str">
        <f>IFERROR(Recipes2[[#This Row],[Selected Name]], "")</f>
        <v/>
      </c>
      <c r="AC280" s="52" t="str">
        <f>IFERROR(Recipes2[[#This Row],[Selected Quantity]], "")</f>
        <v/>
      </c>
    </row>
    <row r="281" spans="21:29" x14ac:dyDescent="0.25">
      <c r="U281" s="6">
        <f t="shared" si="8"/>
        <v>5</v>
      </c>
      <c r="V281" s="51" t="str">
        <f>IFERROR(Recipes[[#This Row],[Selected Name]], "")</f>
        <v/>
      </c>
      <c r="W281" s="51" t="str">
        <f>IFERROR(Recipes[[#This Row],[Selected Component]], "")</f>
        <v/>
      </c>
      <c r="X281" s="52" t="str">
        <f>IFERROR(Recipes[[#This Row],[Selected Quantity]], "")</f>
        <v/>
      </c>
      <c r="Z281" s="53">
        <f t="shared" si="9"/>
        <v>6</v>
      </c>
      <c r="AA281" s="51" t="str">
        <f>IFERROR(Recipes2[[#This Row],[Selected Component]], "")</f>
        <v/>
      </c>
      <c r="AB281" s="51" t="str">
        <f>IFERROR(Recipes2[[#This Row],[Selected Name]], "")</f>
        <v/>
      </c>
      <c r="AC281" s="52" t="str">
        <f>IFERROR(Recipes2[[#This Row],[Selected Quantity]], "")</f>
        <v/>
      </c>
    </row>
    <row r="282" spans="21:29" x14ac:dyDescent="0.25">
      <c r="U282" s="6">
        <f t="shared" si="8"/>
        <v>5</v>
      </c>
      <c r="V282" s="51" t="str">
        <f>IFERROR(Recipes[[#This Row],[Selected Name]], "")</f>
        <v/>
      </c>
      <c r="W282" s="51" t="str">
        <f>IFERROR(Recipes[[#This Row],[Selected Component]], "")</f>
        <v/>
      </c>
      <c r="X282" s="52" t="str">
        <f>IFERROR(Recipes[[#This Row],[Selected Quantity]], "")</f>
        <v/>
      </c>
      <c r="Z282" s="53">
        <f t="shared" si="9"/>
        <v>6</v>
      </c>
      <c r="AA282" s="51" t="str">
        <f>IFERROR(Recipes2[[#This Row],[Selected Component]], "")</f>
        <v/>
      </c>
      <c r="AB282" s="51" t="str">
        <f>IFERROR(Recipes2[[#This Row],[Selected Name]], "")</f>
        <v/>
      </c>
      <c r="AC282" s="52" t="str">
        <f>IFERROR(Recipes2[[#This Row],[Selected Quantity]], "")</f>
        <v/>
      </c>
    </row>
    <row r="283" spans="21:29" x14ac:dyDescent="0.25">
      <c r="U283" s="6">
        <f t="shared" si="8"/>
        <v>5</v>
      </c>
      <c r="V283" s="51" t="str">
        <f>IFERROR(Recipes[[#This Row],[Selected Name]], "")</f>
        <v/>
      </c>
      <c r="W283" s="51" t="str">
        <f>IFERROR(Recipes[[#This Row],[Selected Component]], "")</f>
        <v/>
      </c>
      <c r="X283" s="52" t="str">
        <f>IFERROR(Recipes[[#This Row],[Selected Quantity]], "")</f>
        <v/>
      </c>
      <c r="Z283" s="53">
        <f t="shared" si="9"/>
        <v>6</v>
      </c>
      <c r="AA283" s="51" t="str">
        <f>IFERROR(Recipes2[[#This Row],[Selected Component]], "")</f>
        <v/>
      </c>
      <c r="AB283" s="51" t="str">
        <f>IFERROR(Recipes2[[#This Row],[Selected Name]], "")</f>
        <v/>
      </c>
      <c r="AC283" s="52" t="str">
        <f>IFERROR(Recipes2[[#This Row],[Selected Quantity]], "")</f>
        <v/>
      </c>
    </row>
    <row r="284" spans="21:29" x14ac:dyDescent="0.25">
      <c r="U284" s="6">
        <f t="shared" si="8"/>
        <v>5</v>
      </c>
      <c r="V284" s="51" t="str">
        <f>IFERROR(Recipes[[#This Row],[Selected Name]], "")</f>
        <v/>
      </c>
      <c r="W284" s="51" t="str">
        <f>IFERROR(Recipes[[#This Row],[Selected Component]], "")</f>
        <v/>
      </c>
      <c r="X284" s="52" t="str">
        <f>IFERROR(Recipes[[#This Row],[Selected Quantity]], "")</f>
        <v/>
      </c>
      <c r="Z284" s="53">
        <f t="shared" si="9"/>
        <v>6</v>
      </c>
      <c r="AA284" s="51" t="str">
        <f>IFERROR(Recipes2[[#This Row],[Selected Component]], "")</f>
        <v/>
      </c>
      <c r="AB284" s="51" t="str">
        <f>IFERROR(Recipes2[[#This Row],[Selected Name]], "")</f>
        <v/>
      </c>
      <c r="AC284" s="52" t="str">
        <f>IFERROR(Recipes2[[#This Row],[Selected Quantity]], "")</f>
        <v/>
      </c>
    </row>
    <row r="285" spans="21:29" x14ac:dyDescent="0.25">
      <c r="U285" s="6">
        <f t="shared" si="8"/>
        <v>5</v>
      </c>
      <c r="V285" s="51" t="str">
        <f>IFERROR(Recipes[[#This Row],[Selected Name]], "")</f>
        <v/>
      </c>
      <c r="W285" s="51" t="str">
        <f>IFERROR(Recipes[[#This Row],[Selected Component]], "")</f>
        <v/>
      </c>
      <c r="X285" s="52" t="str">
        <f>IFERROR(Recipes[[#This Row],[Selected Quantity]], "")</f>
        <v/>
      </c>
      <c r="Z285" s="53">
        <f t="shared" si="9"/>
        <v>6</v>
      </c>
      <c r="AA285" s="51" t="str">
        <f>IFERROR(Recipes2[[#This Row],[Selected Component]], "")</f>
        <v/>
      </c>
      <c r="AB285" s="51" t="str">
        <f>IFERROR(Recipes2[[#This Row],[Selected Name]], "")</f>
        <v/>
      </c>
      <c r="AC285" s="52" t="str">
        <f>IFERROR(Recipes2[[#This Row],[Selected Quantity]], "")</f>
        <v/>
      </c>
    </row>
    <row r="286" spans="21:29" x14ac:dyDescent="0.25">
      <c r="U286" s="6">
        <f t="shared" si="8"/>
        <v>5</v>
      </c>
      <c r="V286" s="51" t="str">
        <f>IFERROR(Recipes[[#This Row],[Selected Name]], "")</f>
        <v/>
      </c>
      <c r="W286" s="51" t="str">
        <f>IFERROR(Recipes[[#This Row],[Selected Component]], "")</f>
        <v/>
      </c>
      <c r="X286" s="52" t="str">
        <f>IFERROR(Recipes[[#This Row],[Selected Quantity]], "")</f>
        <v/>
      </c>
      <c r="Z286" s="53">
        <f t="shared" si="9"/>
        <v>6</v>
      </c>
      <c r="AA286" s="51" t="str">
        <f>IFERROR(Recipes2[[#This Row],[Selected Component]], "")</f>
        <v/>
      </c>
      <c r="AB286" s="51" t="str">
        <f>IFERROR(Recipes2[[#This Row],[Selected Name]], "")</f>
        <v/>
      </c>
      <c r="AC286" s="52" t="str">
        <f>IFERROR(Recipes2[[#This Row],[Selected Quantity]], "")</f>
        <v/>
      </c>
    </row>
    <row r="287" spans="21:29" x14ac:dyDescent="0.25">
      <c r="U287" s="6">
        <f t="shared" si="8"/>
        <v>5</v>
      </c>
      <c r="V287" s="51" t="str">
        <f>IFERROR(Recipes[[#This Row],[Selected Name]], "")</f>
        <v/>
      </c>
      <c r="W287" s="51" t="str">
        <f>IFERROR(Recipes[[#This Row],[Selected Component]], "")</f>
        <v/>
      </c>
      <c r="X287" s="52" t="str">
        <f>IFERROR(Recipes[[#This Row],[Selected Quantity]], "")</f>
        <v/>
      </c>
      <c r="Z287" s="53">
        <f t="shared" si="9"/>
        <v>6</v>
      </c>
      <c r="AA287" s="51" t="str">
        <f>IFERROR(Recipes2[[#This Row],[Selected Component]], "")</f>
        <v/>
      </c>
      <c r="AB287" s="51" t="str">
        <f>IFERROR(Recipes2[[#This Row],[Selected Name]], "")</f>
        <v/>
      </c>
      <c r="AC287" s="52" t="str">
        <f>IFERROR(Recipes2[[#This Row],[Selected Quantity]], "")</f>
        <v/>
      </c>
    </row>
    <row r="288" spans="21:29" x14ac:dyDescent="0.25">
      <c r="U288" s="6">
        <f t="shared" si="8"/>
        <v>5</v>
      </c>
      <c r="V288" s="51" t="str">
        <f>IFERROR(Recipes[[#This Row],[Selected Name]], "")</f>
        <v/>
      </c>
      <c r="W288" s="51" t="str">
        <f>IFERROR(Recipes[[#This Row],[Selected Component]], "")</f>
        <v/>
      </c>
      <c r="X288" s="52" t="str">
        <f>IFERROR(Recipes[[#This Row],[Selected Quantity]], "")</f>
        <v/>
      </c>
      <c r="Z288" s="53">
        <f t="shared" si="9"/>
        <v>6</v>
      </c>
      <c r="AA288" s="51" t="str">
        <f>IFERROR(Recipes2[[#This Row],[Selected Component]], "")</f>
        <v/>
      </c>
      <c r="AB288" s="51" t="str">
        <f>IFERROR(Recipes2[[#This Row],[Selected Name]], "")</f>
        <v/>
      </c>
      <c r="AC288" s="52" t="str">
        <f>IFERROR(Recipes2[[#This Row],[Selected Quantity]], "")</f>
        <v/>
      </c>
    </row>
    <row r="289" spans="21:29" x14ac:dyDescent="0.25">
      <c r="U289" s="6">
        <f t="shared" si="8"/>
        <v>5</v>
      </c>
      <c r="V289" s="51" t="str">
        <f>IFERROR(Recipes[[#This Row],[Selected Name]], "")</f>
        <v/>
      </c>
      <c r="W289" s="51" t="str">
        <f>IFERROR(Recipes[[#This Row],[Selected Component]], "")</f>
        <v/>
      </c>
      <c r="X289" s="52" t="str">
        <f>IFERROR(Recipes[[#This Row],[Selected Quantity]], "")</f>
        <v/>
      </c>
      <c r="Z289" s="53">
        <f t="shared" si="9"/>
        <v>6</v>
      </c>
      <c r="AA289" s="51" t="str">
        <f>IFERROR(Recipes2[[#This Row],[Selected Component]], "")</f>
        <v/>
      </c>
      <c r="AB289" s="51" t="str">
        <f>IFERROR(Recipes2[[#This Row],[Selected Name]], "")</f>
        <v/>
      </c>
      <c r="AC289" s="52" t="str">
        <f>IFERROR(Recipes2[[#This Row],[Selected Quantity]], "")</f>
        <v/>
      </c>
    </row>
    <row r="290" spans="21:29" x14ac:dyDescent="0.25">
      <c r="U290" s="6">
        <f t="shared" si="8"/>
        <v>5</v>
      </c>
      <c r="V290" s="51" t="str">
        <f>IFERROR(Recipes[[#This Row],[Selected Name]], "")</f>
        <v/>
      </c>
      <c r="W290" s="51" t="str">
        <f>IFERROR(Recipes[[#This Row],[Selected Component]], "")</f>
        <v/>
      </c>
      <c r="X290" s="52" t="str">
        <f>IFERROR(Recipes[[#This Row],[Selected Quantity]], "")</f>
        <v/>
      </c>
      <c r="Z290" s="53">
        <f t="shared" si="9"/>
        <v>6</v>
      </c>
      <c r="AA290" s="51" t="str">
        <f>IFERROR(Recipes2[[#This Row],[Selected Component]], "")</f>
        <v/>
      </c>
      <c r="AB290" s="51" t="str">
        <f>IFERROR(Recipes2[[#This Row],[Selected Name]], "")</f>
        <v/>
      </c>
      <c r="AC290" s="52" t="str">
        <f>IFERROR(Recipes2[[#This Row],[Selected Quantity]], "")</f>
        <v/>
      </c>
    </row>
    <row r="291" spans="21:29" x14ac:dyDescent="0.25">
      <c r="U291" s="6">
        <f t="shared" si="8"/>
        <v>5</v>
      </c>
      <c r="V291" s="51" t="str">
        <f>IFERROR(Recipes[[#This Row],[Selected Name]], "")</f>
        <v/>
      </c>
      <c r="W291" s="51" t="str">
        <f>IFERROR(Recipes[[#This Row],[Selected Component]], "")</f>
        <v/>
      </c>
      <c r="X291" s="52" t="str">
        <f>IFERROR(Recipes[[#This Row],[Selected Quantity]], "")</f>
        <v/>
      </c>
      <c r="Z291" s="53">
        <f t="shared" si="9"/>
        <v>6</v>
      </c>
      <c r="AA291" s="51" t="str">
        <f>IFERROR(Recipes2[[#This Row],[Selected Component]], "")</f>
        <v/>
      </c>
      <c r="AB291" s="51" t="str">
        <f>IFERROR(Recipes2[[#This Row],[Selected Name]], "")</f>
        <v/>
      </c>
      <c r="AC291" s="52" t="str">
        <f>IFERROR(Recipes2[[#This Row],[Selected Quantity]], "")</f>
        <v/>
      </c>
    </row>
    <row r="292" spans="21:29" x14ac:dyDescent="0.25">
      <c r="U292" s="6">
        <f t="shared" si="8"/>
        <v>5</v>
      </c>
      <c r="V292" s="51" t="str">
        <f>IFERROR(Recipes[[#This Row],[Selected Name]], "")</f>
        <v/>
      </c>
      <c r="W292" s="51" t="str">
        <f>IFERROR(Recipes[[#This Row],[Selected Component]], "")</f>
        <v/>
      </c>
      <c r="X292" s="52" t="str">
        <f>IFERROR(Recipes[[#This Row],[Selected Quantity]], "")</f>
        <v/>
      </c>
      <c r="Z292" s="53">
        <f t="shared" si="9"/>
        <v>6</v>
      </c>
      <c r="AA292" s="51" t="str">
        <f>IFERROR(Recipes2[[#This Row],[Selected Component]], "")</f>
        <v/>
      </c>
      <c r="AB292" s="51" t="str">
        <f>IFERROR(Recipes2[[#This Row],[Selected Name]], "")</f>
        <v/>
      </c>
      <c r="AC292" s="52" t="str">
        <f>IFERROR(Recipes2[[#This Row],[Selected Quantity]], "")</f>
        <v/>
      </c>
    </row>
    <row r="293" spans="21:29" x14ac:dyDescent="0.25">
      <c r="U293" s="6">
        <f t="shared" si="8"/>
        <v>5</v>
      </c>
      <c r="V293" s="51" t="str">
        <f>IFERROR(Recipes[[#This Row],[Selected Name]], "")</f>
        <v/>
      </c>
      <c r="W293" s="51" t="str">
        <f>IFERROR(Recipes[[#This Row],[Selected Component]], "")</f>
        <v/>
      </c>
      <c r="X293" s="52" t="str">
        <f>IFERROR(Recipes[[#This Row],[Selected Quantity]], "")</f>
        <v/>
      </c>
      <c r="Z293" s="53">
        <f t="shared" si="9"/>
        <v>6</v>
      </c>
      <c r="AA293" s="51" t="str">
        <f>IFERROR(Recipes2[[#This Row],[Selected Component]], "")</f>
        <v/>
      </c>
      <c r="AB293" s="51" t="str">
        <f>IFERROR(Recipes2[[#This Row],[Selected Name]], "")</f>
        <v/>
      </c>
      <c r="AC293" s="52" t="str">
        <f>IFERROR(Recipes2[[#This Row],[Selected Quantity]], "")</f>
        <v/>
      </c>
    </row>
    <row r="294" spans="21:29" x14ac:dyDescent="0.25">
      <c r="U294" s="6">
        <f t="shared" si="8"/>
        <v>5</v>
      </c>
      <c r="V294" s="51" t="str">
        <f>IFERROR(Recipes[[#This Row],[Selected Name]], "")</f>
        <v/>
      </c>
      <c r="W294" s="51" t="str">
        <f>IFERROR(Recipes[[#This Row],[Selected Component]], "")</f>
        <v/>
      </c>
      <c r="X294" s="52" t="str">
        <f>IFERROR(Recipes[[#This Row],[Selected Quantity]], "")</f>
        <v/>
      </c>
      <c r="Z294" s="53">
        <f t="shared" si="9"/>
        <v>6</v>
      </c>
      <c r="AA294" s="51" t="str">
        <f>IFERROR(Recipes2[[#This Row],[Selected Component]], "")</f>
        <v/>
      </c>
      <c r="AB294" s="51" t="str">
        <f>IFERROR(Recipes2[[#This Row],[Selected Name]], "")</f>
        <v/>
      </c>
      <c r="AC294" s="52" t="str">
        <f>IFERROR(Recipes2[[#This Row],[Selected Quantity]], "")</f>
        <v/>
      </c>
    </row>
    <row r="295" spans="21:29" x14ac:dyDescent="0.25">
      <c r="U295" s="6">
        <f t="shared" si="8"/>
        <v>5</v>
      </c>
      <c r="V295" s="51" t="str">
        <f>IFERROR(Recipes[[#This Row],[Selected Name]], "")</f>
        <v/>
      </c>
      <c r="W295" s="51" t="str">
        <f>IFERROR(Recipes[[#This Row],[Selected Component]], "")</f>
        <v/>
      </c>
      <c r="X295" s="52" t="str">
        <f>IFERROR(Recipes[[#This Row],[Selected Quantity]], "")</f>
        <v/>
      </c>
      <c r="Z295" s="53">
        <f t="shared" si="9"/>
        <v>6</v>
      </c>
      <c r="AA295" s="51" t="str">
        <f>IFERROR(Recipes2[[#This Row],[Selected Component]], "")</f>
        <v/>
      </c>
      <c r="AB295" s="51" t="str">
        <f>IFERROR(Recipes2[[#This Row],[Selected Name]], "")</f>
        <v/>
      </c>
      <c r="AC295" s="52" t="str">
        <f>IFERROR(Recipes2[[#This Row],[Selected Quantity]], "")</f>
        <v/>
      </c>
    </row>
    <row r="296" spans="21:29" x14ac:dyDescent="0.25">
      <c r="U296" s="6">
        <f t="shared" si="8"/>
        <v>5</v>
      </c>
      <c r="V296" s="51" t="str">
        <f>IFERROR(Recipes[[#This Row],[Selected Name]], "")</f>
        <v/>
      </c>
      <c r="W296" s="51" t="str">
        <f>IFERROR(Recipes[[#This Row],[Selected Component]], "")</f>
        <v/>
      </c>
      <c r="X296" s="52" t="str">
        <f>IFERROR(Recipes[[#This Row],[Selected Quantity]], "")</f>
        <v/>
      </c>
      <c r="Z296" s="53">
        <f t="shared" si="9"/>
        <v>6</v>
      </c>
      <c r="AA296" s="51" t="str">
        <f>IFERROR(Recipes2[[#This Row],[Selected Component]], "")</f>
        <v/>
      </c>
      <c r="AB296" s="51" t="str">
        <f>IFERROR(Recipes2[[#This Row],[Selected Name]], "")</f>
        <v/>
      </c>
      <c r="AC296" s="52" t="str">
        <f>IFERROR(Recipes2[[#This Row],[Selected Quantity]], "")</f>
        <v/>
      </c>
    </row>
    <row r="297" spans="21:29" x14ac:dyDescent="0.25">
      <c r="U297" s="6">
        <f t="shared" si="8"/>
        <v>5</v>
      </c>
      <c r="V297" s="51" t="str">
        <f>IFERROR(Recipes[[#This Row],[Selected Name]], "")</f>
        <v/>
      </c>
      <c r="W297" s="51" t="str">
        <f>IFERROR(Recipes[[#This Row],[Selected Component]], "")</f>
        <v/>
      </c>
      <c r="X297" s="52" t="str">
        <f>IFERROR(Recipes[[#This Row],[Selected Quantity]], "")</f>
        <v/>
      </c>
      <c r="Z297" s="53">
        <f t="shared" si="9"/>
        <v>6</v>
      </c>
      <c r="AA297" s="51" t="str">
        <f>IFERROR(Recipes2[[#This Row],[Selected Component]], "")</f>
        <v/>
      </c>
      <c r="AB297" s="51" t="str">
        <f>IFERROR(Recipes2[[#This Row],[Selected Name]], "")</f>
        <v/>
      </c>
      <c r="AC297" s="52" t="str">
        <f>IFERROR(Recipes2[[#This Row],[Selected Quantity]], "")</f>
        <v/>
      </c>
    </row>
    <row r="298" spans="21:29" x14ac:dyDescent="0.25">
      <c r="U298" s="6">
        <f t="shared" si="8"/>
        <v>5</v>
      </c>
      <c r="V298" s="51" t="str">
        <f>IFERROR(Recipes[[#This Row],[Selected Name]], "")</f>
        <v/>
      </c>
      <c r="W298" s="51" t="str">
        <f>IFERROR(Recipes[[#This Row],[Selected Component]], "")</f>
        <v/>
      </c>
      <c r="X298" s="52" t="str">
        <f>IFERROR(Recipes[[#This Row],[Selected Quantity]], "")</f>
        <v/>
      </c>
      <c r="Z298" s="53">
        <f t="shared" si="9"/>
        <v>6</v>
      </c>
      <c r="AA298" s="51" t="str">
        <f>IFERROR(Recipes2[[#This Row],[Selected Component]], "")</f>
        <v/>
      </c>
      <c r="AB298" s="51" t="str">
        <f>IFERROR(Recipes2[[#This Row],[Selected Name]], "")</f>
        <v/>
      </c>
      <c r="AC298" s="52" t="str">
        <f>IFERROR(Recipes2[[#This Row],[Selected Quantity]], "")</f>
        <v/>
      </c>
    </row>
    <row r="299" spans="21:29" x14ac:dyDescent="0.25">
      <c r="U299" s="6">
        <f t="shared" si="8"/>
        <v>5</v>
      </c>
      <c r="V299" s="51" t="str">
        <f>IFERROR(Recipes[[#This Row],[Selected Name]], "")</f>
        <v/>
      </c>
      <c r="W299" s="51" t="str">
        <f>IFERROR(Recipes[[#This Row],[Selected Component]], "")</f>
        <v/>
      </c>
      <c r="X299" s="52" t="str">
        <f>IFERROR(Recipes[[#This Row],[Selected Quantity]], "")</f>
        <v/>
      </c>
      <c r="Z299" s="53">
        <f t="shared" si="9"/>
        <v>6</v>
      </c>
      <c r="AA299" s="51" t="str">
        <f>IFERROR(Recipes2[[#This Row],[Selected Component]], "")</f>
        <v/>
      </c>
      <c r="AB299" s="51" t="str">
        <f>IFERROR(Recipes2[[#This Row],[Selected Name]], "")</f>
        <v/>
      </c>
      <c r="AC299" s="52" t="str">
        <f>IFERROR(Recipes2[[#This Row],[Selected Quantity]], "")</f>
        <v/>
      </c>
    </row>
    <row r="300" spans="21:29" x14ac:dyDescent="0.25">
      <c r="U300" s="6">
        <f t="shared" si="8"/>
        <v>5</v>
      </c>
      <c r="V300" s="51" t="str">
        <f>IFERROR(Recipes[[#This Row],[Selected Name]], "")</f>
        <v/>
      </c>
      <c r="W300" s="51" t="str">
        <f>IFERROR(Recipes[[#This Row],[Selected Component]], "")</f>
        <v/>
      </c>
      <c r="X300" s="52" t="str">
        <f>IFERROR(Recipes[[#This Row],[Selected Quantity]], "")</f>
        <v/>
      </c>
      <c r="Z300" s="53">
        <f t="shared" si="9"/>
        <v>6</v>
      </c>
      <c r="AA300" s="51" t="str">
        <f>IFERROR(Recipes2[[#This Row],[Selected Component]], "")</f>
        <v/>
      </c>
      <c r="AB300" s="51" t="str">
        <f>IFERROR(Recipes2[[#This Row],[Selected Name]], "")</f>
        <v/>
      </c>
      <c r="AC300" s="52" t="str">
        <f>IFERROR(Recipes2[[#This Row],[Selected Quantity]], "")</f>
        <v/>
      </c>
    </row>
  </sheetData>
  <dataConsolidate/>
  <mergeCells count="26">
    <mergeCell ref="B1:D1"/>
    <mergeCell ref="B11:C11"/>
    <mergeCell ref="B14:C14"/>
    <mergeCell ref="B13:C13"/>
    <mergeCell ref="B15:C15"/>
    <mergeCell ref="B12:C12"/>
    <mergeCell ref="B10:D10"/>
    <mergeCell ref="B4:D4"/>
    <mergeCell ref="B8:C8"/>
    <mergeCell ref="B5:C5"/>
    <mergeCell ref="B6:C6"/>
    <mergeCell ref="B7:C7"/>
    <mergeCell ref="B2:D2"/>
    <mergeCell ref="B27:C27"/>
    <mergeCell ref="B9:C9"/>
    <mergeCell ref="B21:D21"/>
    <mergeCell ref="B22:C22"/>
    <mergeCell ref="B23:C23"/>
    <mergeCell ref="B24:C24"/>
    <mergeCell ref="B25:C25"/>
    <mergeCell ref="B26:C26"/>
    <mergeCell ref="C18:D18"/>
    <mergeCell ref="C19:D19"/>
    <mergeCell ref="C20:D20"/>
    <mergeCell ref="B16:C16"/>
    <mergeCell ref="B17:D17"/>
  </mergeCells>
  <conditionalFormatting sqref="Z2:AC300">
    <cfRule type="expression" dxfId="77" priority="73">
      <formula>MOD($Z2, 2) = 1</formula>
    </cfRule>
  </conditionalFormatting>
  <conditionalFormatting sqref="S2:S100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U2:X300">
    <cfRule type="expression" dxfId="76" priority="25">
      <formula>MOD($U2, 2) = 1</formula>
    </cfRule>
  </conditionalFormatting>
  <conditionalFormatting sqref="V2:X300">
    <cfRule type="expression" dxfId="75" priority="22" stopIfTrue="1">
      <formula>$V2 = ""</formula>
    </cfRule>
    <cfRule type="expression" dxfId="74" priority="24">
      <formula>$V2 = ActiveComponent</formula>
    </cfRule>
  </conditionalFormatting>
  <conditionalFormatting sqref="P2:P100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{EF4F06C6-7FA6-4899-BDCD-F8E8A1FE7D32}</x14:id>
        </ext>
      </extLst>
    </cfRule>
  </conditionalFormatting>
  <conditionalFormatting sqref="G2:S100">
    <cfRule type="expression" dxfId="73" priority="5">
      <formula>$G2 = SelectedName</formula>
    </cfRule>
    <cfRule type="expression" dxfId="72" priority="29" stopIfTrue="1">
      <formula>$G2 = ""</formula>
    </cfRule>
    <cfRule type="expression" dxfId="71" priority="64" stopIfTrue="1">
      <formula>$S2</formula>
    </cfRule>
    <cfRule type="expression" dxfId="70" priority="65">
      <formula>$M2 = "M"</formula>
    </cfRule>
    <cfRule type="expression" dxfId="69" priority="66">
      <formula>$M2 = "F"</formula>
    </cfRule>
    <cfRule type="expression" dxfId="68" priority="67">
      <formula>$M2 = "C"</formula>
    </cfRule>
    <cfRule type="expression" dxfId="67" priority="68">
      <formula>$M2 = "R"</formula>
    </cfRule>
    <cfRule type="expression" dxfId="66" priority="69">
      <formula>$M2 = "O"</formula>
    </cfRule>
  </conditionalFormatting>
  <conditionalFormatting sqref="V2:V300">
    <cfRule type="expression" dxfId="65" priority="2">
      <formula>V2 = V1</formula>
    </cfRule>
  </conditionalFormatting>
  <conditionalFormatting sqref="AA2:AA300">
    <cfRule type="expression" dxfId="64" priority="1">
      <formula>AA2 = AA1</formula>
    </cfRule>
  </conditionalFormatting>
  <conditionalFormatting sqref="AA2:AC300">
    <cfRule type="expression" dxfId="63" priority="36" stopIfTrue="1">
      <formula>$AA2 = ""</formula>
    </cfRule>
    <cfRule type="expression" dxfId="62" priority="72">
      <formula>$AA2 = ActiveComponent</formula>
    </cfRule>
  </conditionalFormatting>
  <dataValidations count="4">
    <dataValidation type="list" allowBlank="1" showInputMessage="1" showErrorMessage="1" sqref="C20" xr:uid="{00000000-0002-0000-0000-000000000000}">
      <formula1>"Electric Mining Drill, Burner Mining Drill"</formula1>
    </dataValidation>
    <dataValidation type="list" allowBlank="1" showInputMessage="1" showErrorMessage="1" sqref="C18" xr:uid="{00000000-0002-0000-0000-000001000000}">
      <formula1>"Assembly Machine 1, Assembly Machine 2, Assembly Machine 3, Hand"</formula1>
    </dataValidation>
    <dataValidation type="list" allowBlank="1" showInputMessage="1" showErrorMessage="1" sqref="C19" xr:uid="{00000000-0002-0000-0000-000002000000}">
      <formula1>"Stone Furnace, Steel Furnace, Electric Furnace"</formula1>
    </dataValidation>
    <dataValidation type="list" allowBlank="1" showInputMessage="1" showErrorMessage="1" sqref="B2" xr:uid="{00000000-0002-0000-0000-000003000000}">
      <formula1>ItemNames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2" r:id="rId4" name="_IncludeAssemblyMachin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21</xdr:row>
                    <xdr:rowOff>0</xdr:rowOff>
                  </from>
                  <to>
                    <xdr:col>3</xdr:col>
                    <xdr:colOff>304800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5" name="_IncludeChemicalPlant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3</xdr:col>
                    <xdr:colOff>304800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6" name="_IncludeFurnac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3</xdr:col>
                    <xdr:colOff>304800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7" name="_IncludeMiner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24</xdr:row>
                    <xdr:rowOff>0</xdr:rowOff>
                  </from>
                  <to>
                    <xdr:col>3</xdr:col>
                    <xdr:colOff>304800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8" name="_IncludePump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25</xdr:row>
                    <xdr:rowOff>0</xdr:rowOff>
                  </from>
                  <to>
                    <xdr:col>3</xdr:col>
                    <xdr:colOff>304800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9" name="_IncludeRefineri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304800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10" name="Check Box 3274">
              <controlPr defaultSize="0" autoFill="0" autoLine="0" autoPict="0">
                <anchor moveWithCells="1">
                  <from>
                    <xdr:col>18</xdr:col>
                    <xdr:colOff>266700</xdr:colOff>
                    <xdr:row>1</xdr:row>
                    <xdr:rowOff>0</xdr:rowOff>
                  </from>
                  <to>
                    <xdr:col>18</xdr:col>
                    <xdr:colOff>590550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11" name="Check Box 3275">
              <controlPr defaultSize="0" autoFill="0" autoLine="0" autoPict="0">
                <anchor moveWithCells="1">
                  <from>
                    <xdr:col>18</xdr:col>
                    <xdr:colOff>266700</xdr:colOff>
                    <xdr:row>2</xdr:row>
                    <xdr:rowOff>0</xdr:rowOff>
                  </from>
                  <to>
                    <xdr:col>18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12" name="Check Box 3276">
              <controlPr defaultSize="0" autoFill="0" autoLine="0" autoPict="0">
                <anchor moveWithCells="1">
                  <from>
                    <xdr:col>18</xdr:col>
                    <xdr:colOff>266700</xdr:colOff>
                    <xdr:row>3</xdr:row>
                    <xdr:rowOff>0</xdr:rowOff>
                  </from>
                  <to>
                    <xdr:col>18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13" name="Check Box 3277">
              <controlPr defaultSize="0" autoFill="0" autoLine="0" autoPict="0">
                <anchor moveWithCells="1">
                  <from>
                    <xdr:col>18</xdr:col>
                    <xdr:colOff>266700</xdr:colOff>
                    <xdr:row>4</xdr:row>
                    <xdr:rowOff>0</xdr:rowOff>
                  </from>
                  <to>
                    <xdr:col>18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14" name="Check Box 3278">
              <controlPr defaultSize="0" autoFill="0" autoLine="0" autoPict="0">
                <anchor moveWithCells="1">
                  <from>
                    <xdr:col>18</xdr:col>
                    <xdr:colOff>266700</xdr:colOff>
                    <xdr:row>5</xdr:row>
                    <xdr:rowOff>0</xdr:rowOff>
                  </from>
                  <to>
                    <xdr:col>18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5" name="Check Box 3279">
              <controlPr defaultSize="0" autoFill="0" autoLine="0" autoPict="0">
                <anchor moveWithCells="1">
                  <from>
                    <xdr:col>18</xdr:col>
                    <xdr:colOff>266700</xdr:colOff>
                    <xdr:row>6</xdr:row>
                    <xdr:rowOff>0</xdr:rowOff>
                  </from>
                  <to>
                    <xdr:col>18</xdr:col>
                    <xdr:colOff>590550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6"/>
    <tablePart r:id="rId17"/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4F06C6-7FA6-4899-BDCD-F8E8A1FE7D3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Sheet"/>
  <dimension ref="A1:AR324"/>
  <sheetViews>
    <sheetView zoomScale="85" zoomScaleNormal="85" workbookViewId="0">
      <selection activeCell="E14" sqref="E14"/>
    </sheetView>
  </sheetViews>
  <sheetFormatPr defaultRowHeight="15" x14ac:dyDescent="0.25"/>
  <cols>
    <col min="1" max="1" width="25.7109375" bestFit="1" customWidth="1"/>
    <col min="2" max="2" width="9.7109375" customWidth="1"/>
    <col min="3" max="3" width="10.5703125" customWidth="1"/>
    <col min="4" max="4" width="9.7109375" style="39" customWidth="1"/>
    <col min="5" max="5" width="18.5703125" bestFit="1" customWidth="1"/>
    <col min="6" max="8" width="11" style="39" customWidth="1"/>
    <col min="9" max="9" width="11" style="37" customWidth="1"/>
    <col min="10" max="16" width="11" style="39" customWidth="1"/>
    <col min="17" max="17" width="3.140625" customWidth="1"/>
    <col min="18" max="19" width="25.7109375" bestFit="1" customWidth="1"/>
    <col min="20" max="20" width="10" bestFit="1" customWidth="1"/>
    <col min="21" max="25" width="9.140625" customWidth="1"/>
    <col min="26" max="26" width="3.140625" customWidth="1"/>
    <col min="27" max="28" width="25.7109375" hidden="1" customWidth="1"/>
    <col min="29" max="29" width="10" hidden="1" customWidth="1"/>
    <col min="30" max="34" width="9.140625" hidden="1" customWidth="1"/>
    <col min="35" max="35" width="3.140625" hidden="1" customWidth="1"/>
    <col min="36" max="36" width="20.140625" bestFit="1" customWidth="1"/>
    <col min="37" max="37" width="9.5703125" style="8" customWidth="1"/>
    <col min="38" max="38" width="3.140625" customWidth="1"/>
    <col min="39" max="39" width="18.7109375" customWidth="1"/>
    <col min="40" max="40" width="19.5703125" customWidth="1"/>
    <col min="41" max="41" width="9.140625" customWidth="1"/>
    <col min="42" max="42" width="9.85546875" customWidth="1"/>
    <col min="43" max="43" width="9.140625" hidden="1" customWidth="1"/>
    <col min="45" max="45" width="3.140625" customWidth="1"/>
    <col min="54" max="54" width="3.140625" customWidth="1"/>
  </cols>
  <sheetData>
    <row r="1" spans="1:44" s="30" customFormat="1" ht="28.5" customHeight="1" x14ac:dyDescent="0.25">
      <c r="A1" s="30" t="s">
        <v>11</v>
      </c>
      <c r="B1" s="33" t="s">
        <v>183</v>
      </c>
      <c r="C1" s="33" t="s">
        <v>200</v>
      </c>
      <c r="D1" s="33" t="s">
        <v>197</v>
      </c>
      <c r="E1" s="30" t="s">
        <v>185</v>
      </c>
      <c r="F1" s="33" t="s">
        <v>100</v>
      </c>
      <c r="G1" s="33" t="s">
        <v>133</v>
      </c>
      <c r="H1" s="33" t="s">
        <v>12</v>
      </c>
      <c r="I1" s="35" t="s">
        <v>92</v>
      </c>
      <c r="J1" s="33" t="s">
        <v>13</v>
      </c>
      <c r="K1" s="33" t="s">
        <v>14</v>
      </c>
      <c r="L1" s="33" t="s">
        <v>17</v>
      </c>
      <c r="M1" s="33" t="s">
        <v>110</v>
      </c>
      <c r="N1" s="33" t="s">
        <v>18</v>
      </c>
      <c r="O1" s="33" t="s">
        <v>19</v>
      </c>
      <c r="P1" s="33" t="s">
        <v>20</v>
      </c>
      <c r="R1" s="30" t="s">
        <v>11</v>
      </c>
      <c r="S1" s="30" t="s">
        <v>15</v>
      </c>
      <c r="T1" s="33" t="s">
        <v>16</v>
      </c>
      <c r="U1" s="40" t="s">
        <v>72</v>
      </c>
      <c r="V1" s="30" t="s">
        <v>73</v>
      </c>
      <c r="W1" s="30" t="s">
        <v>74</v>
      </c>
      <c r="X1" s="30" t="s">
        <v>75</v>
      </c>
      <c r="Y1" s="30" t="s">
        <v>76</v>
      </c>
      <c r="AA1" s="30" t="s">
        <v>11</v>
      </c>
      <c r="AB1" s="30" t="s">
        <v>15</v>
      </c>
      <c r="AC1" s="34" t="s">
        <v>16</v>
      </c>
      <c r="AD1" s="30" t="s">
        <v>72</v>
      </c>
      <c r="AE1" s="30" t="s">
        <v>73</v>
      </c>
      <c r="AF1" s="30" t="s">
        <v>74</v>
      </c>
      <c r="AG1" s="30" t="s">
        <v>75</v>
      </c>
      <c r="AH1" s="30" t="s">
        <v>76</v>
      </c>
      <c r="AJ1" s="30" t="s">
        <v>184</v>
      </c>
      <c r="AK1" s="33" t="s">
        <v>198</v>
      </c>
      <c r="AM1" s="31" t="s">
        <v>185</v>
      </c>
      <c r="AN1" s="31" t="s">
        <v>184</v>
      </c>
      <c r="AO1" s="31" t="s">
        <v>92</v>
      </c>
      <c r="AP1" s="41" t="s">
        <v>134</v>
      </c>
      <c r="AQ1" s="41" t="s">
        <v>100</v>
      </c>
      <c r="AR1" s="41" t="s">
        <v>133</v>
      </c>
    </row>
    <row r="2" spans="1:44" x14ac:dyDescent="0.25">
      <c r="A2" t="s">
        <v>68</v>
      </c>
      <c r="B2">
        <v>10</v>
      </c>
      <c r="C2">
        <f>MAX(Items[[#This Row],[Base Cycle Time]] / Items[[#This Row],[Speed]], MinInsertionTime) / Items[[#This Row],[Quantity Per Cycle]] / Items[[#This Row],[Bonus]]</f>
        <v>8</v>
      </c>
      <c r="D2" s="39">
        <v>1</v>
      </c>
      <c r="E2" t="s">
        <v>59</v>
      </c>
      <c r="F2" s="39">
        <f>INDEX(CraftingTypes[Speed], MATCH(Items[[#This Row],[Producer Type]], CraftingTypes[Producer Type], 0))</f>
        <v>1.25</v>
      </c>
      <c r="G2" s="39">
        <f>INDEX(CraftingTypes[Bonus], MATCH(Items[[#This Row],[Producer Type]], CraftingTypes[Producer Type], 0)) + 1</f>
        <v>1</v>
      </c>
      <c r="H2" s="38">
        <f>1 / Items[[#This Row],[Cycle Time for One]]</f>
        <v>0.125</v>
      </c>
      <c r="I2" s="36" t="b">
        <f>IFERROR(OR(Items[[#This Row],[Name]] = SelectedName, INDEX(CraftingTypes[Include], MATCH(Items[[#This Row],[Producer Type]], CraftingTypes[Producer Type], 0))), FALSE)</f>
        <v>1</v>
      </c>
      <c r="J2" s="38">
        <f>IF(Items[[#This Row],[Name]] = SelectedName, 1, IF(NOT(Items[[#This Row],[Include]]), 0, SUMIFS(RecipeTotals.Quantity, RecipeTotals.Name, SelectedName, RecipeTotals.Component, Items[[#This Row],[Name]])))</f>
        <v>0</v>
      </c>
      <c r="K2" s="38">
        <f>IFERROR(Items[[#This Row],[Selected Count]] / CycleTime.Actual, "")</f>
        <v>0</v>
      </c>
      <c r="L2" s="38">
        <f>IFERROR(Items[[#This Row],[Selected Per Second]] / Items[[#This Row],[Per Second]], "")</f>
        <v>0</v>
      </c>
      <c r="M2" s="38">
        <f>IFERROR(Items[[#This Row],[Selected Per Second]] / Items[[#This Row],[Per Second]], "")</f>
        <v>0</v>
      </c>
      <c r="N2" s="38">
        <f>IFERROR(CEILING(Items[[#This Row],[Fractional Producers for Selected Count]], 1), 0)</f>
        <v>0</v>
      </c>
      <c r="O2" s="38" t="str">
        <f>IF(AND(Items[[#This Row],[Producers For Selected Count]] &gt; 0, Items[[#This Row],[Include]]), ROW() - ROW(Items[#Headers]), "")</f>
        <v/>
      </c>
      <c r="P2" s="38">
        <f>IFERROR(SMALL(Items[Include Row Index], ROW() - ROW(Items[#Headers])), "")</f>
        <v>20</v>
      </c>
      <c r="R2" t="s">
        <v>68</v>
      </c>
      <c r="S2" t="s">
        <v>52</v>
      </c>
      <c r="T2">
        <v>5</v>
      </c>
      <c r="U2" t="str">
        <f>IFERROR(IF(INDEX(Items[Selected Count], MATCH(Recipes[[#This Row],[Name]], Items[Name], 0)) &gt; 0, ROW() - ROW(Recipes[#Headers]), ""), "")</f>
        <v/>
      </c>
      <c r="V2">
        <f>IFERROR(SMALL(Recipes[Selected], ROW() - ROW(Recipes[#Headers])), "")</f>
        <v>51</v>
      </c>
      <c r="W2" t="str">
        <f>IFERROR(INDEX(Recipes[Name], Recipes[[#This Row],[Selected Sorted]]), "")</f>
        <v>Copper Cable</v>
      </c>
      <c r="X2" t="str">
        <f>IFERROR(INDEX(Recipes[Component], Recipes[[#This Row],[Selected Sorted]]), "")</f>
        <v>Copper Plate</v>
      </c>
      <c r="Y2" s="1">
        <f>IFERROR(INDEX(Recipes[Quantity], Recipes[[#This Row],[Selected Sorted]]), "")</f>
        <v>1</v>
      </c>
      <c r="AA2" t="s">
        <v>128</v>
      </c>
      <c r="AB2" t="s">
        <v>68</v>
      </c>
      <c r="AC2">
        <v>100</v>
      </c>
      <c r="AD2" s="1" t="str">
        <f>IFERROR(IF(INDEX(Items[Selected Count], MATCH(Recipes2[[#This Row],[Name]], Items[Name], 0)) &gt; 0, ROW() - ROW(Recipes2[#Headers]), ""), "")</f>
        <v/>
      </c>
      <c r="AE2" s="1">
        <f>IFERROR(SMALL(Recipes2[Selected], ROW() - ROW(Recipes2[#Headers])), "")</f>
        <v>45</v>
      </c>
      <c r="AF2" s="1" t="str">
        <f>IFERROR(INDEX(Recipes2[Name], Recipes2[[#This Row],[Selected Sorted]]), "")</f>
        <v>Electronic Circuit</v>
      </c>
      <c r="AG2" s="1" t="str">
        <f>IFERROR(INDEX(Recipes2[Component], Recipes2[[#This Row],[Selected Sorted]]), "")</f>
        <v>Copper Cable</v>
      </c>
      <c r="AH2" s="1">
        <f>IFERROR(INDEX(Recipes2[Quantity], Recipes2[[#This Row],[Selected Sorted]]), "")</f>
        <v>3</v>
      </c>
      <c r="AJ2" s="2" t="s">
        <v>96</v>
      </c>
      <c r="AK2" s="8">
        <v>0.5</v>
      </c>
      <c r="AM2" s="32" t="s">
        <v>59</v>
      </c>
      <c r="AN2" s="32" t="str">
        <f>AssemblerType</f>
        <v>Assembly Machine 3</v>
      </c>
      <c r="AO2" s="32" t="b">
        <f>IncludeAssemblyMachines</f>
        <v>1</v>
      </c>
      <c r="AP2" s="32">
        <f>Overrides.AssemblyMachineSpeed</f>
        <v>0</v>
      </c>
      <c r="AQ2" s="32">
        <f>IF(CraftingTypes[[#This Row],[Override Speed]] &gt; 0, CraftingTypes[[#This Row],[Override Speed]], INDEX(CraftingSpeeds[Base Speed], MATCH(CraftingTypes[[#This Row],[Producer]], CraftingSpeeds[Producer], 0)))</f>
        <v>1.25</v>
      </c>
      <c r="AR2" s="32">
        <f>Overrides.AssemblyMachineBonus</f>
        <v>0</v>
      </c>
    </row>
    <row r="3" spans="1:44" x14ac:dyDescent="0.25">
      <c r="A3" t="s">
        <v>163</v>
      </c>
      <c r="B3">
        <v>0.5</v>
      </c>
      <c r="C3" s="1">
        <f>MAX(Items[[#This Row],[Base Cycle Time]] / Items[[#This Row],[Speed]], MinInsertionTime) / Items[[#This Row],[Quantity Per Cycle]] / Items[[#This Row],[Bonus]]</f>
        <v>0.4</v>
      </c>
      <c r="D3" s="39">
        <v>1</v>
      </c>
      <c r="E3" t="s">
        <v>59</v>
      </c>
      <c r="F3" s="38">
        <f>INDEX(CraftingTypes[Speed], MATCH(Items[[#This Row],[Producer Type]], CraftingTypes[Producer Type], 0))</f>
        <v>1.25</v>
      </c>
      <c r="G3" s="38">
        <f>INDEX(CraftingTypes[Bonus], MATCH(Items[[#This Row],[Producer Type]], CraftingTypes[Producer Type], 0)) + 1</f>
        <v>1</v>
      </c>
      <c r="H3" s="38">
        <f>1 / Items[[#This Row],[Cycle Time for One]]</f>
        <v>2.5</v>
      </c>
      <c r="I3" s="36" t="b">
        <f>IFERROR(OR(Items[[#This Row],[Name]] = SelectedName, INDEX(CraftingTypes[Include], MATCH(Items[[#This Row],[Producer Type]], CraftingTypes[Producer Type], 0))), FALSE)</f>
        <v>1</v>
      </c>
      <c r="J3" s="38">
        <f>IF(Items[[#This Row],[Name]] = SelectedName, 1, IF(NOT(Items[[#This Row],[Include]]), 0, SUMIFS(RecipeTotals.Quantity, RecipeTotals.Name, SelectedName, RecipeTotals.Component, Items[[#This Row],[Name]])))</f>
        <v>0</v>
      </c>
      <c r="K3" s="38">
        <f>IFERROR(Items[[#This Row],[Selected Count]] / CycleTime.Actual, "")</f>
        <v>0</v>
      </c>
      <c r="L3" s="38">
        <f>IFERROR(Items[[#This Row],[Selected Per Second]] / Items[[#This Row],[Per Second]], "")</f>
        <v>0</v>
      </c>
      <c r="M3" s="38">
        <f>IFERROR(Items[[#This Row],[Selected Per Second]] / Items[[#This Row],[Per Second]], "")</f>
        <v>0</v>
      </c>
      <c r="N3" s="38">
        <f>IFERROR(CEILING(Items[[#This Row],[Fractional Producers for Selected Count]], 1), 0)</f>
        <v>0</v>
      </c>
      <c r="O3" s="38" t="str">
        <f>IF(AND(Items[[#This Row],[Producers For Selected Count]] &gt; 0, Items[[#This Row],[Include]]), ROW() - ROW(Items[#Headers]), "")</f>
        <v/>
      </c>
      <c r="P3" s="38">
        <f>IFERROR(SMALL(Items[Include Row Index], ROW() - ROW(Items[#Headers])), "")</f>
        <v>21</v>
      </c>
      <c r="R3" t="s">
        <v>68</v>
      </c>
      <c r="S3" t="s">
        <v>2</v>
      </c>
      <c r="T3">
        <v>2</v>
      </c>
      <c r="U3" t="str">
        <f>IFERROR(IF(INDEX(Items[Selected Count], MATCH(Recipes[[#This Row],[Name]], Items[Name], 0)) &gt; 0, ROW() - ROW(Recipes[#Headers]), ""), "")</f>
        <v/>
      </c>
      <c r="V3">
        <f>IFERROR(SMALL(Recipes[Selected], ROW() - ROW(Recipes[#Headers])), "")</f>
        <v>52</v>
      </c>
      <c r="W3" t="str">
        <f>IFERROR(INDEX(Recipes[Name], Recipes[[#This Row],[Selected Sorted]]), "")</f>
        <v>Copper Plate</v>
      </c>
      <c r="X3" t="str">
        <f>IFERROR(INDEX(Recipes[Component], Recipes[[#This Row],[Selected Sorted]]), "")</f>
        <v>Copper Ore</v>
      </c>
      <c r="Y3" s="1">
        <f>IFERROR(INDEX(Recipes[Quantity], Recipes[[#This Row],[Selected Sorted]]), "")</f>
        <v>1</v>
      </c>
      <c r="AA3" t="s">
        <v>163</v>
      </c>
      <c r="AB3" t="s">
        <v>6</v>
      </c>
      <c r="AC3">
        <v>1</v>
      </c>
      <c r="AD3" s="1" t="str">
        <f>IFERROR(IF(INDEX(Items[Selected Count], MATCH(Recipes2[[#This Row],[Name]], Items[Name], 0)) &gt; 0, ROW() - ROW(Recipes2[#Headers]), ""), "")</f>
        <v/>
      </c>
      <c r="AE3" s="1">
        <f>IFERROR(SMALL(Recipes2[Selected], ROW() - ROW(Recipes2[#Headers])), "")</f>
        <v>48</v>
      </c>
      <c r="AF3" s="1" t="str">
        <f>IFERROR(INDEX(Recipes2[Name], Recipes2[[#This Row],[Selected Sorted]]), "")</f>
        <v>Copper Plate</v>
      </c>
      <c r="AG3" s="1" t="str">
        <f>IFERROR(INDEX(Recipes2[Component], Recipes2[[#This Row],[Selected Sorted]]), "")</f>
        <v>Copper Ore</v>
      </c>
      <c r="AH3" s="1">
        <f>IFERROR(INDEX(Recipes2[Quantity], Recipes2[[#This Row],[Selected Sorted]]), "")</f>
        <v>1</v>
      </c>
      <c r="AJ3" s="2" t="s">
        <v>95</v>
      </c>
      <c r="AK3" s="8">
        <v>0.75</v>
      </c>
      <c r="AM3" s="32" t="s">
        <v>61</v>
      </c>
      <c r="AN3" s="32" t="str">
        <f>FurnaceType</f>
        <v>Electric Furnace</v>
      </c>
      <c r="AO3" s="32" t="b">
        <f>IncludeFurnaces</f>
        <v>1</v>
      </c>
      <c r="AP3" s="32">
        <f>Overrides.FurnaceSpeed</f>
        <v>6</v>
      </c>
      <c r="AQ3" s="32">
        <f>IF(CraftingTypes[[#This Row],[Override Speed]] &gt; 0, CraftingTypes[[#This Row],[Override Speed]], INDEX(CraftingSpeeds[Base Speed], MATCH(CraftingTypes[[#This Row],[Producer]], CraftingSpeeds[Producer], 0)))</f>
        <v>6</v>
      </c>
      <c r="AR3" s="32">
        <f>Overrides.FurnaceBonus</f>
        <v>0</v>
      </c>
    </row>
    <row r="4" spans="1:44" x14ac:dyDescent="0.25">
      <c r="A4" t="s">
        <v>6</v>
      </c>
      <c r="B4">
        <v>6</v>
      </c>
      <c r="C4">
        <f>MAX(Items[[#This Row],[Base Cycle Time]] / Items[[#This Row],[Speed]], MinInsertionTime) / Items[[#This Row],[Quantity Per Cycle]] / Items[[#This Row],[Bonus]]</f>
        <v>4.8</v>
      </c>
      <c r="D4" s="39">
        <v>1</v>
      </c>
      <c r="E4" t="s">
        <v>59</v>
      </c>
      <c r="F4" s="39">
        <f>INDEX(CraftingTypes[Speed], MATCH(Items[[#This Row],[Producer Type]], CraftingTypes[Producer Type], 0))</f>
        <v>1.25</v>
      </c>
      <c r="G4" s="39">
        <f>INDEX(CraftingTypes[Bonus], MATCH(Items[[#This Row],[Producer Type]], CraftingTypes[Producer Type], 0)) + 1</f>
        <v>1</v>
      </c>
      <c r="H4" s="39">
        <f>1 / Items[[#This Row],[Cycle Time for One]]</f>
        <v>0.20833333333333334</v>
      </c>
      <c r="I4" s="37" t="b">
        <f>IFERROR(OR(Items[[#This Row],[Name]] = SelectedName, INDEX(CraftingTypes[Include], MATCH(Items[[#This Row],[Producer Type]], CraftingTypes[Producer Type], 0))), FALSE)</f>
        <v>1</v>
      </c>
      <c r="J4" s="39">
        <f>IF(Items[[#This Row],[Name]] = SelectedName, 1, IF(NOT(Items[[#This Row],[Include]]), 0, SUMIFS(RecipeTotals.Quantity, RecipeTotals.Name, SelectedName, RecipeTotals.Component, Items[[#This Row],[Name]])))</f>
        <v>0</v>
      </c>
      <c r="K4" s="39">
        <f>IFERROR(Items[[#This Row],[Selected Count]] / CycleTime.Actual, "")</f>
        <v>0</v>
      </c>
      <c r="L4" s="39">
        <f>IFERROR(Items[[#This Row],[Selected Per Second]] / Items[[#This Row],[Per Second]], "")</f>
        <v>0</v>
      </c>
      <c r="M4" s="39">
        <f>IFERROR(Items[[#This Row],[Selected Per Second]] / Items[[#This Row],[Per Second]], "")</f>
        <v>0</v>
      </c>
      <c r="N4" s="39">
        <f>IFERROR(CEILING(Items[[#This Row],[Fractional Producers for Selected Count]], 1), 0)</f>
        <v>0</v>
      </c>
      <c r="O4" s="38" t="str">
        <f>IF(AND(Items[[#This Row],[Producers For Selected Count]] &gt; 0, Items[[#This Row],[Include]]), ROW() - ROW(Items[#Headers]), "")</f>
        <v/>
      </c>
      <c r="P4" s="38">
        <f>IFERROR(SMALL(Items[Include Row Index], ROW() - ROW(Items[#Headers])), "")</f>
        <v>22</v>
      </c>
      <c r="R4" t="s">
        <v>163</v>
      </c>
      <c r="S4" t="s">
        <v>6</v>
      </c>
      <c r="T4">
        <v>1</v>
      </c>
      <c r="U4" s="1" t="str">
        <f>IFERROR(IF(INDEX(Items[Selected Count], MATCH(Recipes[[#This Row],[Name]], Items[Name], 0)) &gt; 0, ROW() - ROW(Recipes[#Headers]), ""), "")</f>
        <v/>
      </c>
      <c r="V4" s="1">
        <f>IFERROR(SMALL(Recipes[Selected], ROW() - ROW(Recipes[#Headers])), "")</f>
        <v>77</v>
      </c>
      <c r="W4" s="1" t="str">
        <f>IFERROR(INDEX(Recipes[Name], Recipes[[#This Row],[Selected Sorted]]), "")</f>
        <v>Electronic Circuit</v>
      </c>
      <c r="X4" s="1" t="str">
        <f>IFERROR(INDEX(Recipes[Component], Recipes[[#This Row],[Selected Sorted]]), "")</f>
        <v>Copper Cable</v>
      </c>
      <c r="Y4" s="1">
        <f>IFERROR(INDEX(Recipes[Quantity], Recipes[[#This Row],[Selected Sorted]]), "")</f>
        <v>3</v>
      </c>
      <c r="AA4" t="s">
        <v>121</v>
      </c>
      <c r="AB4" t="s">
        <v>6</v>
      </c>
      <c r="AC4">
        <v>20</v>
      </c>
      <c r="AD4" s="1" t="str">
        <f>IFERROR(IF(INDEX(Items[Selected Count], MATCH(Recipes2[[#This Row],[Name]], Items[Name], 0)) &gt; 0, ROW() - ROW(Recipes2[#Headers]), ""), "")</f>
        <v/>
      </c>
      <c r="AE4" s="1">
        <f>IFERROR(SMALL(Recipes2[Selected], ROW() - ROW(Recipes2[#Headers])), "")</f>
        <v>51</v>
      </c>
      <c r="AF4" s="1" t="str">
        <f>IFERROR(INDEX(Recipes2[Name], Recipes2[[#This Row],[Selected Sorted]]), "")</f>
        <v>Copper Cable</v>
      </c>
      <c r="AG4" s="1" t="str">
        <f>IFERROR(INDEX(Recipes2[Component], Recipes2[[#This Row],[Selected Sorted]]), "")</f>
        <v>Copper Plate</v>
      </c>
      <c r="AH4" s="1">
        <f>IFERROR(INDEX(Recipes2[Quantity], Recipes2[[#This Row],[Selected Sorted]]), "")</f>
        <v>1</v>
      </c>
      <c r="AJ4" t="s">
        <v>97</v>
      </c>
      <c r="AK4" s="8">
        <v>1.25</v>
      </c>
      <c r="AM4" s="32" t="s">
        <v>194</v>
      </c>
      <c r="AN4" s="32" t="str">
        <f>MinerType</f>
        <v>Electric Mining Drill</v>
      </c>
      <c r="AO4" s="32" t="b">
        <f>IncludeMiners</f>
        <v>1</v>
      </c>
      <c r="AP4" s="32">
        <f>Overrides.MiningSpeed</f>
        <v>0</v>
      </c>
      <c r="AQ4" s="32">
        <f>IF(CraftingTypes[[#This Row],[Override Speed]] &gt; 0, CraftingTypes[[#This Row],[Override Speed]], INDEX(CraftingSpeeds[Base Speed], MATCH(CraftingTypes[[#This Row],[Producer]], CraftingSpeeds[Producer], 0)))</f>
        <v>0.52500000000000002</v>
      </c>
      <c r="AR4" s="32">
        <f>Overrides.MiningBonus</f>
        <v>0</v>
      </c>
    </row>
    <row r="5" spans="1:44" x14ac:dyDescent="0.25">
      <c r="A5" t="s">
        <v>51</v>
      </c>
      <c r="B5">
        <f>12/10</f>
        <v>1.2</v>
      </c>
      <c r="C5">
        <f>MAX(Items[[#This Row],[Base Cycle Time]] / Items[[#This Row],[Speed]], MinInsertionTime) / Items[[#This Row],[Quantity Per Cycle]] / Items[[#This Row],[Bonus]]</f>
        <v>0.96</v>
      </c>
      <c r="D5" s="39">
        <v>1</v>
      </c>
      <c r="E5" t="s">
        <v>59</v>
      </c>
      <c r="F5" s="39">
        <f>INDEX(CraftingTypes[Speed], MATCH(Items[[#This Row],[Producer Type]], CraftingTypes[Producer Type], 0))</f>
        <v>1.25</v>
      </c>
      <c r="G5" s="39">
        <f>INDEX(CraftingTypes[Bonus], MATCH(Items[[#This Row],[Producer Type]], CraftingTypes[Producer Type], 0)) + 1</f>
        <v>1</v>
      </c>
      <c r="H5" s="38">
        <f>1 / Items[[#This Row],[Cycle Time for One]]</f>
        <v>1.0416666666666667</v>
      </c>
      <c r="I5" s="36" t="b">
        <f>IFERROR(OR(Items[[#This Row],[Name]] = SelectedName, INDEX(CraftingTypes[Include], MATCH(Items[[#This Row],[Producer Type]], CraftingTypes[Producer Type], 0))), FALSE)</f>
        <v>1</v>
      </c>
      <c r="J5" s="38">
        <f>IF(Items[[#This Row],[Name]] = SelectedName, 1, IF(NOT(Items[[#This Row],[Include]]), 0, SUMIFS(RecipeTotals.Quantity, RecipeTotals.Name, SelectedName, RecipeTotals.Component, Items[[#This Row],[Name]])))</f>
        <v>0</v>
      </c>
      <c r="K5" s="38">
        <f>IFERROR(Items[[#This Row],[Selected Count]] / CycleTime.Actual, "")</f>
        <v>0</v>
      </c>
      <c r="L5" s="38">
        <f>IFERROR(Items[[#This Row],[Selected Per Second]] / Items[[#This Row],[Per Second]], "")</f>
        <v>0</v>
      </c>
      <c r="M5" s="38">
        <f>IFERROR(Items[[#This Row],[Selected Per Second]] / Items[[#This Row],[Per Second]], "")</f>
        <v>0</v>
      </c>
      <c r="N5" s="38">
        <f>IFERROR(CEILING(Items[[#This Row],[Fractional Producers for Selected Count]], 1), 0)</f>
        <v>0</v>
      </c>
      <c r="O5" s="38" t="str">
        <f>IF(AND(Items[[#This Row],[Producers For Selected Count]] &gt; 0, Items[[#This Row],[Include]]), ROW() - ROW(Items[#Headers]), "")</f>
        <v/>
      </c>
      <c r="P5" s="38">
        <f>IFERROR(SMALL(Items[Include Row Index], ROW() - ROW(Items[#Headers])), "")</f>
        <v>32</v>
      </c>
      <c r="R5" t="s">
        <v>163</v>
      </c>
      <c r="S5" t="s">
        <v>5</v>
      </c>
      <c r="T5">
        <v>3</v>
      </c>
      <c r="U5" s="1" t="str">
        <f>IFERROR(IF(INDEX(Items[Selected Count], MATCH(Recipes[[#This Row],[Name]], Items[Name], 0)) &gt; 0, ROW() - ROW(Recipes[#Headers]), ""), "")</f>
        <v/>
      </c>
      <c r="V5" s="1">
        <f>IFERROR(SMALL(Recipes[Selected], ROW() - ROW(Recipes[#Headers])), "")</f>
        <v>78</v>
      </c>
      <c r="W5" s="1" t="str">
        <f>IFERROR(INDEX(Recipes[Name], Recipes[[#This Row],[Selected Sorted]]), "")</f>
        <v>Electronic Circuit</v>
      </c>
      <c r="X5" s="1" t="str">
        <f>IFERROR(INDEX(Recipes[Component], Recipes[[#This Row],[Selected Sorted]]), "")</f>
        <v>Iron Plate</v>
      </c>
      <c r="Y5" s="1">
        <f>IFERROR(INDEX(Recipes[Quantity], Recipes[[#This Row],[Selected Sorted]]), "")</f>
        <v>1</v>
      </c>
      <c r="AA5" t="s">
        <v>149</v>
      </c>
      <c r="AB5" t="s">
        <v>6</v>
      </c>
      <c r="AC5">
        <v>100</v>
      </c>
      <c r="AD5" s="1" t="str">
        <f>IFERROR(IF(INDEX(Items[Selected Count], MATCH(Recipes2[[#This Row],[Name]], Items[Name], 0)) &gt; 0, ROW() - ROW(Recipes2[#Headers]), ""), "")</f>
        <v/>
      </c>
      <c r="AE5" s="1">
        <f>IFERROR(SMALL(Recipes2[Selected], ROW() - ROW(Recipes2[#Headers])), "")</f>
        <v>164</v>
      </c>
      <c r="AF5" s="1" t="str">
        <f>IFERROR(INDEX(Recipes2[Name], Recipes2[[#This Row],[Selected Sorted]]), "")</f>
        <v>Iron Plate</v>
      </c>
      <c r="AG5" s="1" t="str">
        <f>IFERROR(INDEX(Recipes2[Component], Recipes2[[#This Row],[Selected Sorted]]), "")</f>
        <v>Iron Ore</v>
      </c>
      <c r="AH5" s="1">
        <f>IFERROR(INDEX(Recipes2[Quantity], Recipes2[[#This Row],[Selected Sorted]]), "")</f>
        <v>1</v>
      </c>
      <c r="AJ5" t="s">
        <v>98</v>
      </c>
      <c r="AK5" s="8">
        <v>1</v>
      </c>
      <c r="AM5" s="32" t="s">
        <v>93</v>
      </c>
      <c r="AN5" s="32" t="s">
        <v>66</v>
      </c>
      <c r="AO5" s="32" t="b">
        <f>IncludeRefineries</f>
        <v>0</v>
      </c>
      <c r="AP5" s="32"/>
      <c r="AQ5" s="32">
        <f>IF(CraftingTypes[[#This Row],[Override Speed]] &gt; 0, CraftingTypes[[#This Row],[Override Speed]], INDEX(CraftingSpeeds[Base Speed], MATCH(CraftingTypes[[#This Row],[Producer]], CraftingSpeeds[Producer], 0)))</f>
        <v>1</v>
      </c>
      <c r="AR5" s="32"/>
    </row>
    <row r="6" spans="1:44" x14ac:dyDescent="0.25">
      <c r="A6" t="s">
        <v>7</v>
      </c>
      <c r="B6">
        <v>0.5</v>
      </c>
      <c r="C6">
        <f>MAX(Items[[#This Row],[Base Cycle Time]] / Items[[#This Row],[Speed]], MinInsertionTime) / Items[[#This Row],[Quantity Per Cycle]] / Items[[#This Row],[Bonus]]</f>
        <v>0.4</v>
      </c>
      <c r="D6" s="39">
        <v>1</v>
      </c>
      <c r="E6" t="s">
        <v>59</v>
      </c>
      <c r="F6" s="39">
        <f>INDEX(CraftingTypes[Speed], MATCH(Items[[#This Row],[Producer Type]], CraftingTypes[Producer Type], 0))</f>
        <v>1.25</v>
      </c>
      <c r="G6" s="39">
        <f>INDEX(CraftingTypes[Bonus], MATCH(Items[[#This Row],[Producer Type]], CraftingTypes[Producer Type], 0)) + 1</f>
        <v>1</v>
      </c>
      <c r="H6" s="39">
        <f>1 / Items[[#This Row],[Cycle Time for One]]</f>
        <v>2.5</v>
      </c>
      <c r="I6" s="37" t="b">
        <f>IFERROR(OR(Items[[#This Row],[Name]] = SelectedName, INDEX(CraftingTypes[Include], MATCH(Items[[#This Row],[Producer Type]], CraftingTypes[Producer Type], 0))), FALSE)</f>
        <v>1</v>
      </c>
      <c r="J6" s="39">
        <f>IF(Items[[#This Row],[Name]] = SelectedName, 1, IF(NOT(Items[[#This Row],[Include]]), 0, SUMIFS(RecipeTotals.Quantity, RecipeTotals.Name, SelectedName, RecipeTotals.Component, Items[[#This Row],[Name]])))</f>
        <v>0</v>
      </c>
      <c r="K6" s="39">
        <f>IFERROR(Items[[#This Row],[Selected Count]] / CycleTime.Actual, "")</f>
        <v>0</v>
      </c>
      <c r="L6" s="39">
        <f>IFERROR(Items[[#This Row],[Selected Per Second]] / Items[[#This Row],[Per Second]], "")</f>
        <v>0</v>
      </c>
      <c r="M6" s="39">
        <f>IFERROR(Items[[#This Row],[Selected Per Second]] / Items[[#This Row],[Per Second]], "")</f>
        <v>0</v>
      </c>
      <c r="N6" s="39">
        <f>IFERROR(CEILING(Items[[#This Row],[Fractional Producers for Selected Count]], 1), 0)</f>
        <v>0</v>
      </c>
      <c r="O6" s="38" t="str">
        <f>IF(AND(Items[[#This Row],[Producers For Selected Count]] &gt; 0, Items[[#This Row],[Include]]), ROW() - ROW(Items[#Headers]), "")</f>
        <v/>
      </c>
      <c r="P6" s="38">
        <f>IFERROR(SMALL(Items[Include Row Index], ROW() - ROW(Items[#Headers])), "")</f>
        <v>56</v>
      </c>
      <c r="R6" t="s">
        <v>163</v>
      </c>
      <c r="S6" t="s">
        <v>107</v>
      </c>
      <c r="T6">
        <v>1</v>
      </c>
      <c r="U6" s="1" t="str">
        <f>IFERROR(IF(INDEX(Items[Selected Count], MATCH(Recipes[[#This Row],[Name]], Items[Name], 0)) &gt; 0, ROW() - ROW(Recipes[#Headers]), ""), "")</f>
        <v/>
      </c>
      <c r="V6" s="1">
        <f>IFERROR(SMALL(Recipes[Selected], ROW() - ROW(Recipes[#Headers])), "")</f>
        <v>138</v>
      </c>
      <c r="W6" s="1" t="str">
        <f>IFERROR(INDEX(Recipes[Name], Recipes[[#This Row],[Selected Sorted]]), "")</f>
        <v>Iron Plate</v>
      </c>
      <c r="X6" s="1" t="str">
        <f>IFERROR(INDEX(Recipes[Component], Recipes[[#This Row],[Selected Sorted]]), "")</f>
        <v>Iron Ore</v>
      </c>
      <c r="Y6" s="1">
        <f>IFERROR(INDEX(Recipes[Quantity], Recipes[[#This Row],[Selected Sorted]]), "")</f>
        <v>1</v>
      </c>
      <c r="AA6" t="s">
        <v>123</v>
      </c>
      <c r="AB6" t="s">
        <v>6</v>
      </c>
      <c r="AC6">
        <v>3</v>
      </c>
      <c r="AD6" s="1" t="str">
        <f>IFERROR(IF(INDEX(Items[Selected Count], MATCH(Recipes2[[#This Row],[Name]], Items[Name], 0)) &gt; 0, ROW() - ROW(Recipes2[#Headers]), ""), "")</f>
        <v/>
      </c>
      <c r="AE6" s="1">
        <f>IFERROR(SMALL(Recipes2[Selected], ROW() - ROW(Recipes2[#Headers])), "")</f>
        <v>173</v>
      </c>
      <c r="AF6" s="1" t="str">
        <f>IFERROR(INDEX(Recipes2[Name], Recipes2[[#This Row],[Selected Sorted]]), "")</f>
        <v>Electronic Circuit</v>
      </c>
      <c r="AG6" s="1" t="str">
        <f>IFERROR(INDEX(Recipes2[Component], Recipes2[[#This Row],[Selected Sorted]]), "")</f>
        <v>Iron Plate</v>
      </c>
      <c r="AH6" s="1">
        <f>IFERROR(INDEX(Recipes2[Quantity], Recipes2[[#This Row],[Selected Sorted]]), "")</f>
        <v>1</v>
      </c>
      <c r="AJ6" t="s">
        <v>99</v>
      </c>
      <c r="AK6" s="8">
        <v>2</v>
      </c>
      <c r="AM6" s="32" t="s">
        <v>60</v>
      </c>
      <c r="AN6" s="32" t="s">
        <v>60</v>
      </c>
      <c r="AO6" s="32" t="b">
        <f>IncludeChemicalPlants</f>
        <v>1</v>
      </c>
      <c r="AP6" s="32">
        <f>Overrides.ChemicalPlantSpeed</f>
        <v>3.125</v>
      </c>
      <c r="AQ6" s="32">
        <f>IF(CraftingTypes[[#This Row],[Override Speed]] &gt; 0, CraftingTypes[[#This Row],[Override Speed]], INDEX(CraftingSpeeds[Base Speed], MATCH(CraftingTypes[[#This Row],[Producer]], CraftingSpeeds[Producer], 0)))</f>
        <v>3.125</v>
      </c>
      <c r="AR6" s="32">
        <f>Overrides.ChemicalPlantBonus</f>
        <v>0</v>
      </c>
    </row>
    <row r="7" spans="1:44" x14ac:dyDescent="0.25">
      <c r="A7" t="s">
        <v>9</v>
      </c>
      <c r="B7">
        <v>0.5</v>
      </c>
      <c r="C7">
        <f>MAX(Items[[#This Row],[Base Cycle Time]] / Items[[#This Row],[Speed]], MinInsertionTime) / Items[[#This Row],[Quantity Per Cycle]] / Items[[#This Row],[Bonus]]</f>
        <v>0.4</v>
      </c>
      <c r="D7" s="39">
        <v>1</v>
      </c>
      <c r="E7" t="s">
        <v>59</v>
      </c>
      <c r="F7" s="39">
        <f>INDEX(CraftingTypes[Speed], MATCH(Items[[#This Row],[Producer Type]], CraftingTypes[Producer Type], 0))</f>
        <v>1.25</v>
      </c>
      <c r="G7" s="39">
        <f>INDEX(CraftingTypes[Bonus], MATCH(Items[[#This Row],[Producer Type]], CraftingTypes[Producer Type], 0)) + 1</f>
        <v>1</v>
      </c>
      <c r="H7" s="39">
        <f>1 / Items[[#This Row],[Cycle Time for One]]</f>
        <v>2.5</v>
      </c>
      <c r="I7" s="37" t="b">
        <f>IFERROR(OR(Items[[#This Row],[Name]] = SelectedName, INDEX(CraftingTypes[Include], MATCH(Items[[#This Row],[Producer Type]], CraftingTypes[Producer Type], 0))), FALSE)</f>
        <v>1</v>
      </c>
      <c r="J7" s="39">
        <f>IF(Items[[#This Row],[Name]] = SelectedName, 1, IF(NOT(Items[[#This Row],[Include]]), 0, SUMIFS(RecipeTotals.Quantity, RecipeTotals.Name, SelectedName, RecipeTotals.Component, Items[[#This Row],[Name]])))</f>
        <v>0</v>
      </c>
      <c r="K7" s="39">
        <f>IFERROR(Items[[#This Row],[Selected Count]] / CycleTime.Actual, "")</f>
        <v>0</v>
      </c>
      <c r="L7" s="39">
        <f>IFERROR(Items[[#This Row],[Selected Per Second]] / Items[[#This Row],[Per Second]], "")</f>
        <v>0</v>
      </c>
      <c r="M7" s="39">
        <f>IFERROR(Items[[#This Row],[Selected Per Second]] / Items[[#This Row],[Per Second]], "")</f>
        <v>0</v>
      </c>
      <c r="N7" s="39">
        <f>IFERROR(CEILING(Items[[#This Row],[Fractional Producers for Selected Count]], 1), 0)</f>
        <v>0</v>
      </c>
      <c r="O7" s="38" t="str">
        <f>IF(AND(Items[[#This Row],[Producers For Selected Count]] &gt; 0, Items[[#This Row],[Include]]), ROW() - ROW(Items[#Headers]), "")</f>
        <v/>
      </c>
      <c r="P7" s="38">
        <f>IFERROR(SMALL(Items[Include Row Index], ROW() - ROW(Items[#Headers])), "")</f>
        <v>57</v>
      </c>
      <c r="R7" t="s">
        <v>6</v>
      </c>
      <c r="S7" t="s">
        <v>1</v>
      </c>
      <c r="T7">
        <v>4</v>
      </c>
      <c r="U7" t="str">
        <f>IFERROR(IF(INDEX(Items[Selected Count], MATCH(Recipes[[#This Row],[Name]], Items[Name], 0)) &gt; 0, ROW() - ROW(Recipes[#Headers]), ""), "")</f>
        <v/>
      </c>
      <c r="V7" t="str">
        <f>IFERROR(SMALL(Recipes[Selected], ROW() - ROW(Recipes[#Headers])), "")</f>
        <v/>
      </c>
      <c r="W7" t="str">
        <f>IFERROR(INDEX(Recipes[Name], Recipes[[#This Row],[Selected Sorted]]), "")</f>
        <v/>
      </c>
      <c r="X7" t="str">
        <f>IFERROR(INDEX(Recipes[Component], Recipes[[#This Row],[Selected Sorted]]), "")</f>
        <v/>
      </c>
      <c r="Y7" s="1" t="str">
        <f>IFERROR(INDEX(Recipes[Quantity], Recipes[[#This Row],[Selected Sorted]]), "")</f>
        <v/>
      </c>
      <c r="AA7" t="s">
        <v>116</v>
      </c>
      <c r="AB7" t="s">
        <v>6</v>
      </c>
      <c r="AC7">
        <v>5</v>
      </c>
      <c r="AD7" s="1" t="str">
        <f>IFERROR(IF(INDEX(Items[Selected Count], MATCH(Recipes2[[#This Row],[Name]], Items[Name], 0)) &gt; 0, ROW() - ROW(Recipes2[#Headers]), ""), "")</f>
        <v/>
      </c>
      <c r="AE7" s="1" t="str">
        <f>IFERROR(SMALL(Recipes2[Selected], ROW() - ROW(Recipes2[#Headers])), "")</f>
        <v/>
      </c>
      <c r="AF7" s="1" t="str">
        <f>IFERROR(INDEX(Recipes2[Name], Recipes2[[#This Row],[Selected Sorted]]), "")</f>
        <v/>
      </c>
      <c r="AG7" s="1" t="str">
        <f>IFERROR(INDEX(Recipes2[Component], Recipes2[[#This Row],[Selected Sorted]]), "")</f>
        <v/>
      </c>
      <c r="AH7" s="1" t="str">
        <f>IFERROR(INDEX(Recipes2[Quantity], Recipes2[[#This Row],[Selected Sorted]]), "")</f>
        <v/>
      </c>
      <c r="AJ7" t="s">
        <v>80</v>
      </c>
      <c r="AK7" s="8">
        <v>2</v>
      </c>
      <c r="AM7" s="32" t="s">
        <v>102</v>
      </c>
      <c r="AN7" s="32" t="s">
        <v>102</v>
      </c>
      <c r="AO7" s="32" t="b">
        <f>IncludePumps</f>
        <v>0</v>
      </c>
      <c r="AP7" s="32"/>
      <c r="AQ7" s="32">
        <f>IF(CraftingTypes[[#This Row],[Override Speed]] &gt; 0, CraftingTypes[[#This Row],[Override Speed]], INDEX(CraftingSpeeds[Base Speed], MATCH(CraftingTypes[[#This Row],[Producer]], CraftingSpeeds[Producer], 0)))</f>
        <v>60</v>
      </c>
      <c r="AR7" s="32"/>
    </row>
    <row r="8" spans="1:44" x14ac:dyDescent="0.25">
      <c r="A8" t="s">
        <v>10</v>
      </c>
      <c r="B8">
        <v>0.5</v>
      </c>
      <c r="C8">
        <f>MAX(Items[[#This Row],[Base Cycle Time]] / Items[[#This Row],[Speed]], MinInsertionTime) / Items[[#This Row],[Quantity Per Cycle]] / Items[[#This Row],[Bonus]]</f>
        <v>0.4</v>
      </c>
      <c r="D8" s="39">
        <v>1</v>
      </c>
      <c r="E8" t="s">
        <v>59</v>
      </c>
      <c r="F8" s="39">
        <f>INDEX(CraftingTypes[Speed], MATCH(Items[[#This Row],[Producer Type]], CraftingTypes[Producer Type], 0))</f>
        <v>1.25</v>
      </c>
      <c r="G8" s="39">
        <f>INDEX(CraftingTypes[Bonus], MATCH(Items[[#This Row],[Producer Type]], CraftingTypes[Producer Type], 0)) + 1</f>
        <v>1</v>
      </c>
      <c r="H8" s="39">
        <f>1 / Items[[#This Row],[Cycle Time for One]]</f>
        <v>2.5</v>
      </c>
      <c r="I8" s="37" t="b">
        <f>IFERROR(OR(Items[[#This Row],[Name]] = SelectedName, INDEX(CraftingTypes[Include], MATCH(Items[[#This Row],[Producer Type]], CraftingTypes[Producer Type], 0))), FALSE)</f>
        <v>1</v>
      </c>
      <c r="J8" s="39">
        <f>IF(Items[[#This Row],[Name]] = SelectedName, 1, IF(NOT(Items[[#This Row],[Include]]), 0, SUMIFS(RecipeTotals.Quantity, RecipeTotals.Name, SelectedName, RecipeTotals.Component, Items[[#This Row],[Name]])))</f>
        <v>0</v>
      </c>
      <c r="K8" s="39">
        <f>IFERROR(Items[[#This Row],[Selected Count]] / CycleTime.Actual, "")</f>
        <v>0</v>
      </c>
      <c r="L8" s="39">
        <f>IFERROR(Items[[#This Row],[Selected Per Second]] / Items[[#This Row],[Per Second]], "")</f>
        <v>0</v>
      </c>
      <c r="M8" s="39">
        <f>IFERROR(Items[[#This Row],[Selected Per Second]] / Items[[#This Row],[Per Second]], "")</f>
        <v>0</v>
      </c>
      <c r="N8" s="39">
        <f>IFERROR(CEILING(Items[[#This Row],[Fractional Producers for Selected Count]], 1), 0)</f>
        <v>0</v>
      </c>
      <c r="O8" s="38" t="str">
        <f>IF(AND(Items[[#This Row],[Producers For Selected Count]] &gt; 0, Items[[#This Row],[Include]]), ROW() - ROW(Items[#Headers]), "")</f>
        <v/>
      </c>
      <c r="P8" s="38" t="str">
        <f>IFERROR(SMALL(Items[Include Row Index], ROW() - ROW(Items[#Headers])), "")</f>
        <v/>
      </c>
      <c r="R8" t="s">
        <v>6</v>
      </c>
      <c r="S8" t="s">
        <v>5</v>
      </c>
      <c r="T8">
        <v>2</v>
      </c>
      <c r="U8" t="str">
        <f>IFERROR(IF(INDEX(Items[Selected Count], MATCH(Recipes[[#This Row],[Name]], Items[Name], 0)) &gt; 0, ROW() - ROW(Recipes[#Headers]), ""), "")</f>
        <v/>
      </c>
      <c r="V8" t="str">
        <f>IFERROR(SMALL(Recipes[Selected], ROW() - ROW(Recipes[#Headers])), "")</f>
        <v/>
      </c>
      <c r="W8" t="str">
        <f>IFERROR(INDEX(Recipes[Name], Recipes[[#This Row],[Selected Sorted]]), "")</f>
        <v/>
      </c>
      <c r="X8" t="str">
        <f>IFERROR(INDEX(Recipes[Component], Recipes[[#This Row],[Selected Sorted]]), "")</f>
        <v/>
      </c>
      <c r="Y8" s="1" t="str">
        <f>IFERROR(INDEX(Recipes[Quantity], Recipes[[#This Row],[Selected Sorted]]), "")</f>
        <v/>
      </c>
      <c r="AA8" t="s">
        <v>112</v>
      </c>
      <c r="AB8" t="s">
        <v>6</v>
      </c>
      <c r="AC8">
        <v>5</v>
      </c>
      <c r="AD8" s="1" t="str">
        <f>IFERROR(IF(INDEX(Items[Selected Count], MATCH(Recipes2[[#This Row],[Name]], Items[Name], 0)) &gt; 0, ROW() - ROW(Recipes2[#Headers]), ""), "")</f>
        <v/>
      </c>
      <c r="AE8" s="1" t="str">
        <f>IFERROR(SMALL(Recipes2[Selected], ROW() - ROW(Recipes2[#Headers])), "")</f>
        <v/>
      </c>
      <c r="AF8" s="1" t="str">
        <f>IFERROR(INDEX(Recipes2[Name], Recipes2[[#This Row],[Selected Sorted]]), "")</f>
        <v/>
      </c>
      <c r="AG8" s="1" t="str">
        <f>IFERROR(INDEX(Recipes2[Component], Recipes2[[#This Row],[Selected Sorted]]), "")</f>
        <v/>
      </c>
      <c r="AH8" s="1" t="str">
        <f>IFERROR(INDEX(Recipes2[Quantity], Recipes2[[#This Row],[Selected Sorted]]), "")</f>
        <v/>
      </c>
      <c r="AJ8" t="s">
        <v>66</v>
      </c>
      <c r="AK8" s="8">
        <v>1</v>
      </c>
      <c r="AM8" s="32" t="s">
        <v>79</v>
      </c>
      <c r="AN8" s="32" t="s">
        <v>79</v>
      </c>
      <c r="AO8" s="32" t="b">
        <f>IncludePumps</f>
        <v>0</v>
      </c>
      <c r="AP8" s="32"/>
      <c r="AQ8" s="32">
        <f>IF(CraftingTypes[[#This Row],[Override Speed]] &gt; 0, CraftingTypes[[#This Row],[Override Speed]], INDEX(CraftingSpeeds[Base Speed], MATCH(CraftingTypes[[#This Row],[Producer]], CraftingSpeeds[Producer], 0)))</f>
        <v>1</v>
      </c>
      <c r="AR8" s="32"/>
    </row>
    <row r="9" spans="1:44" x14ac:dyDescent="0.25">
      <c r="A9" t="s">
        <v>52</v>
      </c>
      <c r="B9">
        <v>5</v>
      </c>
      <c r="C9">
        <f>MAX(Items[[#This Row],[Base Cycle Time]] / Items[[#This Row],[Speed]], MinInsertionTime) / Items[[#This Row],[Quantity Per Cycle]] / Items[[#This Row],[Bonus]]</f>
        <v>1.6</v>
      </c>
      <c r="D9" s="39">
        <v>1</v>
      </c>
      <c r="E9" t="s">
        <v>60</v>
      </c>
      <c r="F9" s="39">
        <f>INDEX(CraftingTypes[Speed], MATCH(Items[[#This Row],[Producer Type]], CraftingTypes[Producer Type], 0))</f>
        <v>3.125</v>
      </c>
      <c r="G9" s="39">
        <f>INDEX(CraftingTypes[Bonus], MATCH(Items[[#This Row],[Producer Type]], CraftingTypes[Producer Type], 0)) + 1</f>
        <v>1</v>
      </c>
      <c r="H9" s="38">
        <f>1 / Items[[#This Row],[Cycle Time for One]]</f>
        <v>0.625</v>
      </c>
      <c r="I9" s="36" t="b">
        <f>IFERROR(OR(Items[[#This Row],[Name]] = SelectedName, INDEX(CraftingTypes[Include], MATCH(Items[[#This Row],[Producer Type]], CraftingTypes[Producer Type], 0))), FALSE)</f>
        <v>1</v>
      </c>
      <c r="J9" s="38">
        <f>IF(Items[[#This Row],[Name]] = SelectedName, 1, IF(NOT(Items[[#This Row],[Include]]), 0, SUMIFS(RecipeTotals.Quantity, RecipeTotals.Name, SelectedName, RecipeTotals.Component, Items[[#This Row],[Name]])))</f>
        <v>0</v>
      </c>
      <c r="K9" s="38">
        <f>IFERROR(Items[[#This Row],[Selected Count]] / CycleTime.Actual, "")</f>
        <v>0</v>
      </c>
      <c r="L9" s="38">
        <f>IFERROR(Items[[#This Row],[Selected Per Second]] / Items[[#This Row],[Per Second]], "")</f>
        <v>0</v>
      </c>
      <c r="M9" s="38">
        <f>IFERROR(Items[[#This Row],[Selected Per Second]] / Items[[#This Row],[Per Second]], "")</f>
        <v>0</v>
      </c>
      <c r="N9" s="38">
        <f>IFERROR(CEILING(Items[[#This Row],[Fractional Producers for Selected Count]], 1), 0)</f>
        <v>0</v>
      </c>
      <c r="O9" s="38" t="str">
        <f>IF(AND(Items[[#This Row],[Producers For Selected Count]] &gt; 0, Items[[#This Row],[Include]]), ROW() - ROW(Items[#Headers]), "")</f>
        <v/>
      </c>
      <c r="P9" s="38" t="str">
        <f>IFERROR(SMALL(Items[Include Row Index], ROW() - ROW(Items[#Headers])), "")</f>
        <v/>
      </c>
      <c r="R9" t="s">
        <v>6</v>
      </c>
      <c r="S9" t="s">
        <v>3</v>
      </c>
      <c r="T9">
        <v>2</v>
      </c>
      <c r="U9" t="str">
        <f>IFERROR(IF(INDEX(Items[Selected Count], MATCH(Recipes[[#This Row],[Name]], Items[Name], 0)) &gt; 0, ROW() - ROW(Recipes[#Headers]), ""), "")</f>
        <v/>
      </c>
      <c r="V9" t="str">
        <f>IFERROR(SMALL(Recipes[Selected], ROW() - ROW(Recipes[#Headers])), "")</f>
        <v/>
      </c>
      <c r="W9" t="str">
        <f>IFERROR(INDEX(Recipes[Name], Recipes[[#This Row],[Selected Sorted]]), "")</f>
        <v/>
      </c>
      <c r="X9" t="str">
        <f>IFERROR(INDEX(Recipes[Component], Recipes[[#This Row],[Selected Sorted]]), "")</f>
        <v/>
      </c>
      <c r="Y9" s="1" t="str">
        <f>IFERROR(INDEX(Recipes[Quantity], Recipes[[#This Row],[Selected Sorted]]), "")</f>
        <v/>
      </c>
      <c r="AA9" t="s">
        <v>113</v>
      </c>
      <c r="AB9" t="s">
        <v>6</v>
      </c>
      <c r="AC9">
        <v>5</v>
      </c>
      <c r="AD9" s="1" t="str">
        <f>IFERROR(IF(INDEX(Items[Selected Count], MATCH(Recipes2[[#This Row],[Name]], Items[Name], 0)) &gt; 0, ROW() - ROW(Recipes2[#Headers]), ""), "")</f>
        <v/>
      </c>
      <c r="AE9" s="1" t="str">
        <f>IFERROR(SMALL(Recipes2[Selected], ROW() - ROW(Recipes2[#Headers])), "")</f>
        <v/>
      </c>
      <c r="AF9" s="1" t="str">
        <f>IFERROR(INDEX(Recipes2[Name], Recipes2[[#This Row],[Selected Sorted]]), "")</f>
        <v/>
      </c>
      <c r="AG9" s="1" t="str">
        <f>IFERROR(INDEX(Recipes2[Component], Recipes2[[#This Row],[Selected Sorted]]), "")</f>
        <v/>
      </c>
      <c r="AH9" s="1" t="str">
        <f>IFERROR(INDEX(Recipes2[Quantity], Recipes2[[#This Row],[Selected Sorted]]), "")</f>
        <v/>
      </c>
      <c r="AJ9" t="s">
        <v>60</v>
      </c>
      <c r="AK9" s="8">
        <v>1.25</v>
      </c>
      <c r="AM9" s="32" t="s">
        <v>189</v>
      </c>
      <c r="AN9" s="32" t="s">
        <v>189</v>
      </c>
      <c r="AO9" s="32" t="b">
        <v>1</v>
      </c>
      <c r="AP9" s="32"/>
      <c r="AQ9" s="32">
        <f>IF(CraftingTypes[[#This Row],[Override Speed]] &gt; 0, CraftingTypes[[#This Row],[Override Speed]], INDEX(CraftingSpeeds[Base Speed], MATCH(CraftingTypes[[#This Row],[Producer]], CraftingSpeeds[Producer], 0)))</f>
        <v>1</v>
      </c>
      <c r="AR9" s="32"/>
    </row>
    <row r="10" spans="1:44" x14ac:dyDescent="0.25">
      <c r="A10" t="s">
        <v>121</v>
      </c>
      <c r="B10">
        <v>15</v>
      </c>
      <c r="C10" s="1">
        <f>MAX(Items[[#This Row],[Base Cycle Time]] / Items[[#This Row],[Speed]], MinInsertionTime) / Items[[#This Row],[Quantity Per Cycle]] / Items[[#This Row],[Bonus]]</f>
        <v>12</v>
      </c>
      <c r="D10" s="39">
        <v>1</v>
      </c>
      <c r="E10" t="s">
        <v>59</v>
      </c>
      <c r="F10" s="38">
        <f>INDEX(CraftingTypes[Speed], MATCH(Items[[#This Row],[Producer Type]], CraftingTypes[Producer Type], 0))</f>
        <v>1.25</v>
      </c>
      <c r="G10" s="38">
        <f>INDEX(CraftingTypes[Bonus], MATCH(Items[[#This Row],[Producer Type]], CraftingTypes[Producer Type], 0)) + 1</f>
        <v>1</v>
      </c>
      <c r="H10" s="38">
        <f>1 / Items[[#This Row],[Cycle Time for One]]</f>
        <v>8.3333333333333329E-2</v>
      </c>
      <c r="I10" s="36" t="b">
        <f>IFERROR(OR(Items[[#This Row],[Name]] = SelectedName, INDEX(CraftingTypes[Include], MATCH(Items[[#This Row],[Producer Type]], CraftingTypes[Producer Type], 0))), FALSE)</f>
        <v>1</v>
      </c>
      <c r="J10" s="38">
        <f>IF(Items[[#This Row],[Name]] = SelectedName, 1, IF(NOT(Items[[#This Row],[Include]]), 0, SUMIFS(RecipeTotals.Quantity, RecipeTotals.Name, SelectedName, RecipeTotals.Component, Items[[#This Row],[Name]])))</f>
        <v>0</v>
      </c>
      <c r="K10" s="38">
        <f>IFERROR(Items[[#This Row],[Selected Count]] / CycleTime.Actual, "")</f>
        <v>0</v>
      </c>
      <c r="L10" s="38">
        <f>IFERROR(Items[[#This Row],[Selected Per Second]] / Items[[#This Row],[Per Second]], "")</f>
        <v>0</v>
      </c>
      <c r="M10" s="38">
        <f>IFERROR(Items[[#This Row],[Selected Per Second]] / Items[[#This Row],[Per Second]], "")</f>
        <v>0</v>
      </c>
      <c r="N10" s="38">
        <f>IFERROR(CEILING(Items[[#This Row],[Fractional Producers for Selected Count]], 1), 0)</f>
        <v>0</v>
      </c>
      <c r="O10" s="38" t="str">
        <f>IF(AND(Items[[#This Row],[Producers For Selected Count]] &gt; 0, Items[[#This Row],[Include]]), ROW() - ROW(Items[#Headers]), "")</f>
        <v/>
      </c>
      <c r="P10" s="38" t="str">
        <f>IFERROR(SMALL(Items[Include Row Index], ROW() - ROW(Items[#Headers])), "")</f>
        <v/>
      </c>
      <c r="R10" t="s">
        <v>7</v>
      </c>
      <c r="S10" t="s">
        <v>5</v>
      </c>
      <c r="T10">
        <v>3</v>
      </c>
      <c r="U10" t="str">
        <f>IFERROR(IF(INDEX(Items[Selected Count], MATCH(Recipes[[#This Row],[Name]], Items[Name], 0)) &gt; 0, ROW() - ROW(Recipes[#Headers]), ""), "")</f>
        <v/>
      </c>
      <c r="V10" t="str">
        <f>IFERROR(SMALL(Recipes[Selected], ROW() - ROW(Recipes[#Headers])), "")</f>
        <v/>
      </c>
      <c r="W10" t="str">
        <f>IFERROR(INDEX(Recipes[Name], Recipes[[#This Row],[Selected Sorted]]), "")</f>
        <v/>
      </c>
      <c r="X10" t="str">
        <f>IFERROR(INDEX(Recipes[Component], Recipes[[#This Row],[Selected Sorted]]), "")</f>
        <v/>
      </c>
      <c r="Y10" s="1" t="str">
        <f>IFERROR(INDEX(Recipes[Quantity], Recipes[[#This Row],[Selected Sorted]]), "")</f>
        <v/>
      </c>
      <c r="AA10" t="s">
        <v>80</v>
      </c>
      <c r="AB10" t="s">
        <v>6</v>
      </c>
      <c r="AC10">
        <v>5</v>
      </c>
      <c r="AD10" s="1" t="str">
        <f>IFERROR(IF(INDEX(Items[Selected Count], MATCH(Recipes2[[#This Row],[Name]], Items[Name], 0)) &gt; 0, ROW() - ROW(Recipes2[#Headers]), ""), "")</f>
        <v/>
      </c>
      <c r="AE10" s="1" t="str">
        <f>IFERROR(SMALL(Recipes2[Selected], ROW() - ROW(Recipes2[#Headers])), "")</f>
        <v/>
      </c>
      <c r="AF10" s="1" t="str">
        <f>IFERROR(INDEX(Recipes2[Name], Recipes2[[#This Row],[Selected Sorted]]), "")</f>
        <v/>
      </c>
      <c r="AG10" s="1" t="str">
        <f>IFERROR(INDEX(Recipes2[Component], Recipes2[[#This Row],[Selected Sorted]]), "")</f>
        <v/>
      </c>
      <c r="AH10" s="1" t="str">
        <f>IFERROR(INDEX(Recipes2[Quantity], Recipes2[[#This Row],[Selected Sorted]]), "")</f>
        <v/>
      </c>
      <c r="AJ10" t="s">
        <v>101</v>
      </c>
      <c r="AK10" s="8">
        <v>0.35</v>
      </c>
    </row>
    <row r="11" spans="1:44" x14ac:dyDescent="0.25">
      <c r="A11" t="s">
        <v>40</v>
      </c>
      <c r="B11">
        <v>0.5</v>
      </c>
      <c r="C11">
        <f>MAX(Items[[#This Row],[Base Cycle Time]] / Items[[#This Row],[Speed]], MinInsertionTime) / Items[[#This Row],[Quantity Per Cycle]] / Items[[#This Row],[Bonus]]</f>
        <v>0.4</v>
      </c>
      <c r="D11" s="39">
        <v>1</v>
      </c>
      <c r="E11" t="s">
        <v>59</v>
      </c>
      <c r="F11" s="39">
        <f>INDEX(CraftingTypes[Speed], MATCH(Items[[#This Row],[Producer Type]], CraftingTypes[Producer Type], 0))</f>
        <v>1.25</v>
      </c>
      <c r="G11" s="39">
        <f>INDEX(CraftingTypes[Bonus], MATCH(Items[[#This Row],[Producer Type]], CraftingTypes[Producer Type], 0)) + 1</f>
        <v>1</v>
      </c>
      <c r="H11" s="38">
        <f>1 / Items[[#This Row],[Cycle Time for One]]</f>
        <v>2.5</v>
      </c>
      <c r="I11" s="36" t="b">
        <f>IFERROR(OR(Items[[#This Row],[Name]] = SelectedName, INDEX(CraftingTypes[Include], MATCH(Items[[#This Row],[Producer Type]], CraftingTypes[Producer Type], 0))), FALSE)</f>
        <v>1</v>
      </c>
      <c r="J11" s="38">
        <f>IF(Items[[#This Row],[Name]] = SelectedName, 1, IF(NOT(Items[[#This Row],[Include]]), 0, SUMIFS(RecipeTotals.Quantity, RecipeTotals.Name, SelectedName, RecipeTotals.Component, Items[[#This Row],[Name]])))</f>
        <v>0</v>
      </c>
      <c r="K11" s="38">
        <f>IFERROR(Items[[#This Row],[Selected Count]] / CycleTime.Actual, "")</f>
        <v>0</v>
      </c>
      <c r="L11" s="38">
        <f>IFERROR(Items[[#This Row],[Selected Per Second]] / Items[[#This Row],[Per Second]], "")</f>
        <v>0</v>
      </c>
      <c r="M11" s="38">
        <f>IFERROR(Items[[#This Row],[Selected Per Second]] / Items[[#This Row],[Per Second]], "")</f>
        <v>0</v>
      </c>
      <c r="N11" s="38">
        <f>IFERROR(CEILING(Items[[#This Row],[Fractional Producers for Selected Count]], 1), 0)</f>
        <v>0</v>
      </c>
      <c r="O11" s="38" t="str">
        <f>IF(AND(Items[[#This Row],[Producers For Selected Count]] &gt; 0, Items[[#This Row],[Include]]), ROW() - ROW(Items[#Headers]), "")</f>
        <v/>
      </c>
      <c r="P11" s="38" t="str">
        <f>IFERROR(SMALL(Items[Include Row Index], ROW() - ROW(Items[#Headers])), "")</f>
        <v/>
      </c>
      <c r="R11" t="s">
        <v>7</v>
      </c>
      <c r="S11" t="s">
        <v>8</v>
      </c>
      <c r="T11">
        <v>5</v>
      </c>
      <c r="U11" t="str">
        <f>IFERROR(IF(INDEX(Items[Selected Count], MATCH(Recipes[[#This Row],[Name]], Items[Name], 0)) &gt; 0, ROW() - ROW(Recipes[#Headers]), ""), "")</f>
        <v/>
      </c>
      <c r="V11" t="str">
        <f>IFERROR(SMALL(Recipes[Selected], ROW() - ROW(Recipes[#Headers])), "")</f>
        <v/>
      </c>
      <c r="W11" t="str">
        <f>IFERROR(INDEX(Recipes[Name], Recipes[[#This Row],[Selected Sorted]]), "")</f>
        <v/>
      </c>
      <c r="X11" t="str">
        <f>IFERROR(INDEX(Recipes[Component], Recipes[[#This Row],[Selected Sorted]]), "")</f>
        <v/>
      </c>
      <c r="Y11" s="1" t="str">
        <f>IFERROR(INDEX(Recipes[Quantity], Recipes[[#This Row],[Selected Sorted]]), "")</f>
        <v/>
      </c>
      <c r="AA11" t="s">
        <v>32</v>
      </c>
      <c r="AB11" t="s">
        <v>6</v>
      </c>
      <c r="AC11">
        <v>10</v>
      </c>
      <c r="AD11" t="str">
        <f>IFERROR(IF(INDEX(Items[Selected Count], MATCH(Recipes2[[#This Row],[Name]], Items[Name], 0)) &gt; 0, ROW() - ROW(Recipes2[#Headers]), ""), "")</f>
        <v/>
      </c>
      <c r="AE11" t="str">
        <f>IFERROR(SMALL(Recipes2[Selected], ROW() - ROW(Recipes2[#Headers])), "")</f>
        <v/>
      </c>
      <c r="AF11" t="str">
        <f>IFERROR(INDEX(Recipes2[Name], Recipes2[[#This Row],[Selected Sorted]]), "")</f>
        <v/>
      </c>
      <c r="AG11" t="str">
        <f>IFERROR(INDEX(Recipes2[Component], Recipes2[[#This Row],[Selected Sorted]]), "")</f>
        <v/>
      </c>
      <c r="AH11" s="1" t="str">
        <f>IFERROR(INDEX(Recipes2[Quantity], Recipes2[[#This Row],[Selected Sorted]]), "")</f>
        <v/>
      </c>
      <c r="AJ11" t="s">
        <v>87</v>
      </c>
      <c r="AK11" s="8">
        <v>0.52500000000000002</v>
      </c>
    </row>
    <row r="12" spans="1:44" x14ac:dyDescent="0.25">
      <c r="A12" t="s">
        <v>143</v>
      </c>
      <c r="B12">
        <v>0.5</v>
      </c>
      <c r="C12" s="1">
        <f>MAX(Items[[#This Row],[Base Cycle Time]] / Items[[#This Row],[Speed]], MinInsertionTime) / Items[[#This Row],[Quantity Per Cycle]] / Items[[#This Row],[Bonus]]</f>
        <v>0.4</v>
      </c>
      <c r="D12" s="39">
        <v>1</v>
      </c>
      <c r="E12" t="s">
        <v>59</v>
      </c>
      <c r="F12" s="38">
        <f>INDEX(CraftingTypes[Speed], MATCH(Items[[#This Row],[Producer Type]], CraftingTypes[Producer Type], 0))</f>
        <v>1.25</v>
      </c>
      <c r="G12" s="38">
        <f>INDEX(CraftingTypes[Bonus], MATCH(Items[[#This Row],[Producer Type]], CraftingTypes[Producer Type], 0)) + 1</f>
        <v>1</v>
      </c>
      <c r="H12" s="38">
        <f>1 / Items[[#This Row],[Cycle Time for One]]</f>
        <v>2.5</v>
      </c>
      <c r="I12" s="36" t="b">
        <f>IFERROR(OR(Items[[#This Row],[Name]] = SelectedName, INDEX(CraftingTypes[Include], MATCH(Items[[#This Row],[Producer Type]], CraftingTypes[Producer Type], 0))), FALSE)</f>
        <v>1</v>
      </c>
      <c r="J12" s="38">
        <f>IF(Items[[#This Row],[Name]] = SelectedName, 1, IF(NOT(Items[[#This Row],[Include]]), 0, SUMIFS(RecipeTotals.Quantity, RecipeTotals.Name, SelectedName, RecipeTotals.Component, Items[[#This Row],[Name]])))</f>
        <v>0</v>
      </c>
      <c r="K12" s="38">
        <f>IFERROR(Items[[#This Row],[Selected Count]] / CycleTime.Actual, "")</f>
        <v>0</v>
      </c>
      <c r="L12" s="38">
        <f>IFERROR(Items[[#This Row],[Selected Per Second]] / Items[[#This Row],[Per Second]], "")</f>
        <v>0</v>
      </c>
      <c r="M12" s="38">
        <f>IFERROR(Items[[#This Row],[Selected Per Second]] / Items[[#This Row],[Per Second]], "")</f>
        <v>0</v>
      </c>
      <c r="N12" s="38">
        <f>IFERROR(CEILING(Items[[#This Row],[Fractional Producers for Selected Count]], 1), 0)</f>
        <v>0</v>
      </c>
      <c r="O12" s="38" t="str">
        <f>IF(AND(Items[[#This Row],[Producers For Selected Count]] &gt; 0, Items[[#This Row],[Include]]), ROW() - ROW(Items[#Headers]), "")</f>
        <v/>
      </c>
      <c r="P12" s="38" t="str">
        <f>IFERROR(SMALL(Items[Include Row Index], ROW() - ROW(Items[#Headers])), "")</f>
        <v/>
      </c>
      <c r="R12" t="s">
        <v>7</v>
      </c>
      <c r="S12" t="s">
        <v>2</v>
      </c>
      <c r="T12">
        <v>9</v>
      </c>
      <c r="U12" t="str">
        <f>IFERROR(IF(INDEX(Items[Selected Count], MATCH(Recipes[[#This Row],[Name]], Items[Name], 0)) &gt; 0, ROW() - ROW(Recipes[#Headers]), ""), "")</f>
        <v/>
      </c>
      <c r="V12" t="str">
        <f>IFERROR(SMALL(Recipes[Selected], ROW() - ROW(Recipes[#Headers])), "")</f>
        <v/>
      </c>
      <c r="W12" t="str">
        <f>IFERROR(INDEX(Recipes[Name], Recipes[[#This Row],[Selected Sorted]]), "")</f>
        <v/>
      </c>
      <c r="X12" t="str">
        <f>IFERROR(INDEX(Recipes[Component], Recipes[[#This Row],[Selected Sorted]]), "")</f>
        <v/>
      </c>
      <c r="Y12" s="1" t="str">
        <f>IFERROR(INDEX(Recipes[Quantity], Recipes[[#This Row],[Selected Sorted]]), "")</f>
        <v/>
      </c>
      <c r="AA12" t="s">
        <v>57</v>
      </c>
      <c r="AB12" t="s">
        <v>6</v>
      </c>
      <c r="AC12">
        <v>2</v>
      </c>
      <c r="AD12" t="str">
        <f>IFERROR(IF(INDEX(Items[Selected Count], MATCH(Recipes2[[#This Row],[Name]], Items[Name], 0)) &gt; 0, ROW() - ROW(Recipes2[#Headers]), ""), "")</f>
        <v/>
      </c>
      <c r="AE12" t="str">
        <f>IFERROR(SMALL(Recipes2[Selected], ROW() - ROW(Recipes2[#Headers])), "")</f>
        <v/>
      </c>
      <c r="AF12" t="str">
        <f>IFERROR(INDEX(Recipes2[Name], Recipes2[[#This Row],[Selected Sorted]]), "")</f>
        <v/>
      </c>
      <c r="AG12" t="str">
        <f>IFERROR(INDEX(Recipes2[Component], Recipes2[[#This Row],[Selected Sorted]]), "")</f>
        <v/>
      </c>
      <c r="AH12" s="1" t="str">
        <f>IFERROR(INDEX(Recipes2[Quantity], Recipes2[[#This Row],[Selected Sorted]]), "")</f>
        <v/>
      </c>
      <c r="AJ12" t="s">
        <v>102</v>
      </c>
      <c r="AK12" s="8">
        <v>60</v>
      </c>
    </row>
    <row r="13" spans="1:44" x14ac:dyDescent="0.25">
      <c r="A13" t="s">
        <v>101</v>
      </c>
      <c r="B13">
        <v>2</v>
      </c>
      <c r="C13" s="1">
        <f>MAX(Items[[#This Row],[Base Cycle Time]] / Items[[#This Row],[Speed]], MinInsertionTime) / Items[[#This Row],[Quantity Per Cycle]] / Items[[#This Row],[Bonus]]</f>
        <v>1.6</v>
      </c>
      <c r="D13" s="39">
        <v>1</v>
      </c>
      <c r="E13" t="s">
        <v>59</v>
      </c>
      <c r="F13" s="38">
        <f>INDEX(CraftingTypes[Speed], MATCH(Items[[#This Row],[Producer Type]], CraftingTypes[Producer Type], 0))</f>
        <v>1.25</v>
      </c>
      <c r="G13" s="38">
        <f>INDEX(CraftingTypes[Bonus], MATCH(Items[[#This Row],[Producer Type]], CraftingTypes[Producer Type], 0)) + 1</f>
        <v>1</v>
      </c>
      <c r="H13" s="38">
        <f>1 / Items[[#This Row],[Cycle Time for One]]</f>
        <v>0.625</v>
      </c>
      <c r="I13" s="36" t="b">
        <f>IFERROR(OR(Items[[#This Row],[Name]] = SelectedName, INDEX(CraftingTypes[Include], MATCH(Items[[#This Row],[Producer Type]], CraftingTypes[Producer Type], 0))), FALSE)</f>
        <v>1</v>
      </c>
      <c r="J13" s="38">
        <f>IF(Items[[#This Row],[Name]] = SelectedName, 1, IF(NOT(Items[[#This Row],[Include]]), 0, SUMIFS(RecipeTotals.Quantity, RecipeTotals.Name, SelectedName, RecipeTotals.Component, Items[[#This Row],[Name]])))</f>
        <v>0</v>
      </c>
      <c r="K13" s="38">
        <f>IFERROR(Items[[#This Row],[Selected Count]] / CycleTime.Actual, "")</f>
        <v>0</v>
      </c>
      <c r="L13" s="38">
        <f>IFERROR(Items[[#This Row],[Selected Per Second]] / Items[[#This Row],[Per Second]], "")</f>
        <v>0</v>
      </c>
      <c r="M13" s="38">
        <f>IFERROR(Items[[#This Row],[Selected Per Second]] / Items[[#This Row],[Per Second]], "")</f>
        <v>0</v>
      </c>
      <c r="N13" s="38">
        <f>IFERROR(CEILING(Items[[#This Row],[Fractional Producers for Selected Count]], 1), 0)</f>
        <v>0</v>
      </c>
      <c r="O13" s="38" t="str">
        <f>IF(AND(Items[[#This Row],[Producers For Selected Count]] &gt; 0, Items[[#This Row],[Include]]), ROW() - ROW(Items[#Headers]), "")</f>
        <v/>
      </c>
      <c r="P13" s="38" t="str">
        <f>IFERROR(SMALL(Items[Include Row Index], ROW() - ROW(Items[#Headers])), "")</f>
        <v/>
      </c>
      <c r="R13" t="s">
        <v>9</v>
      </c>
      <c r="S13" t="s">
        <v>7</v>
      </c>
      <c r="T13">
        <v>1</v>
      </c>
      <c r="U13" t="str">
        <f>IFERROR(IF(INDEX(Items[Selected Count], MATCH(Recipes[[#This Row],[Name]], Items[Name], 0)) &gt; 0, ROW() - ROW(Recipes[#Headers]), ""), "")</f>
        <v/>
      </c>
      <c r="V13" t="str">
        <f>IFERROR(SMALL(Recipes[Selected], ROW() - ROW(Recipes[#Headers])), "")</f>
        <v/>
      </c>
      <c r="W13" t="str">
        <f>IFERROR(INDEX(Recipes[Name], Recipes[[#This Row],[Selected Sorted]]), "")</f>
        <v/>
      </c>
      <c r="X13" t="str">
        <f>IFERROR(INDEX(Recipes[Component], Recipes[[#This Row],[Selected Sorted]]), "")</f>
        <v/>
      </c>
      <c r="Y13" s="1" t="str">
        <f>IFERROR(INDEX(Recipes[Quantity], Recipes[[#This Row],[Selected Sorted]]), "")</f>
        <v/>
      </c>
      <c r="AA13" t="s">
        <v>145</v>
      </c>
      <c r="AB13" t="s">
        <v>6</v>
      </c>
      <c r="AC13">
        <v>500</v>
      </c>
      <c r="AD13" s="1" t="str">
        <f>IFERROR(IF(INDEX(Items[Selected Count], MATCH(Recipes2[[#This Row],[Name]], Items[Name], 0)) &gt; 0, ROW() - ROW(Recipes2[#Headers]), ""), "")</f>
        <v/>
      </c>
      <c r="AE13" s="1" t="str">
        <f>IFERROR(SMALL(Recipes2[Selected], ROW() - ROW(Recipes2[#Headers])), "")</f>
        <v/>
      </c>
      <c r="AF13" s="1" t="str">
        <f>IFERROR(INDEX(Recipes2[Name], Recipes2[[#This Row],[Selected Sorted]]), "")</f>
        <v/>
      </c>
      <c r="AG13" s="1" t="str">
        <f>IFERROR(INDEX(Recipes2[Component], Recipes2[[#This Row],[Selected Sorted]]), "")</f>
        <v/>
      </c>
      <c r="AH13" s="1" t="str">
        <f>IFERROR(INDEX(Recipes2[Quantity], Recipes2[[#This Row],[Selected Sorted]]), "")</f>
        <v/>
      </c>
      <c r="AJ13" t="s">
        <v>79</v>
      </c>
      <c r="AK13" s="8">
        <v>1</v>
      </c>
    </row>
    <row r="14" spans="1:44" x14ac:dyDescent="0.25">
      <c r="A14" t="s">
        <v>161</v>
      </c>
      <c r="B14">
        <v>0.5</v>
      </c>
      <c r="C14" s="1">
        <f>MAX(Items[[#This Row],[Base Cycle Time]] / Items[[#This Row],[Speed]], MinInsertionTime) / Items[[#This Row],[Quantity Per Cycle]] / Items[[#This Row],[Bonus]]</f>
        <v>0.4</v>
      </c>
      <c r="D14" s="39">
        <v>1</v>
      </c>
      <c r="E14" t="s">
        <v>59</v>
      </c>
      <c r="F14" s="38">
        <f>INDEX(CraftingTypes[Speed], MATCH(Items[[#This Row],[Producer Type]], CraftingTypes[Producer Type], 0))</f>
        <v>1.25</v>
      </c>
      <c r="G14" s="38">
        <f>INDEX(CraftingTypes[Bonus], MATCH(Items[[#This Row],[Producer Type]], CraftingTypes[Producer Type], 0)) + 1</f>
        <v>1</v>
      </c>
      <c r="H14" s="38">
        <f>1 / Items[[#This Row],[Cycle Time for One]]</f>
        <v>2.5</v>
      </c>
      <c r="I14" s="36" t="b">
        <f>IFERROR(OR(Items[[#This Row],[Name]] = SelectedName, INDEX(CraftingTypes[Include], MATCH(Items[[#This Row],[Producer Type]], CraftingTypes[Producer Type], 0))), FALSE)</f>
        <v>1</v>
      </c>
      <c r="J14" s="38">
        <f>IF(Items[[#This Row],[Name]] = SelectedName, 1, IF(NOT(Items[[#This Row],[Include]]), 0, SUMIFS(RecipeTotals.Quantity, RecipeTotals.Name, SelectedName, RecipeTotals.Component, Items[[#This Row],[Name]])))</f>
        <v>0</v>
      </c>
      <c r="K14" s="38">
        <f>IFERROR(Items[[#This Row],[Selected Count]] / CycleTime.Actual, "")</f>
        <v>0</v>
      </c>
      <c r="L14" s="38">
        <f>IFERROR(Items[[#This Row],[Selected Per Second]] / Items[[#This Row],[Per Second]], "")</f>
        <v>0</v>
      </c>
      <c r="M14" s="38">
        <f>IFERROR(Items[[#This Row],[Selected Per Second]] / Items[[#This Row],[Per Second]], "")</f>
        <v>0</v>
      </c>
      <c r="N14" s="38">
        <f>IFERROR(CEILING(Items[[#This Row],[Fractional Producers for Selected Count]], 1), 0)</f>
        <v>0</v>
      </c>
      <c r="O14" s="38" t="str">
        <f>IF(AND(Items[[#This Row],[Producers For Selected Count]] &gt; 0, Items[[#This Row],[Include]]), ROW() - ROW(Items[#Headers]), "")</f>
        <v/>
      </c>
      <c r="P14" s="38" t="str">
        <f>IFERROR(SMALL(Items[Include Row Index], ROW() - ROW(Items[#Headers])), "")</f>
        <v/>
      </c>
      <c r="R14" t="s">
        <v>9</v>
      </c>
      <c r="S14" t="s">
        <v>5</v>
      </c>
      <c r="T14">
        <v>3</v>
      </c>
      <c r="U14" t="str">
        <f>IFERROR(IF(INDEX(Items[Selected Count], MATCH(Recipes[[#This Row],[Name]], Items[Name], 0)) &gt; 0, ROW() - ROW(Recipes[#Headers]), ""), "")</f>
        <v/>
      </c>
      <c r="V14" t="str">
        <f>IFERROR(SMALL(Recipes[Selected], ROW() - ROW(Recipes[#Headers])), "")</f>
        <v/>
      </c>
      <c r="W14" t="str">
        <f>IFERROR(INDEX(Recipes[Name], Recipes[[#This Row],[Selected Sorted]]), "")</f>
        <v/>
      </c>
      <c r="X14" t="str">
        <f>IFERROR(INDEX(Recipes[Component], Recipes[[#This Row],[Selected Sorted]]), "")</f>
        <v/>
      </c>
      <c r="Y14" s="1" t="str">
        <f>IFERROR(INDEX(Recipes[Quantity], Recipes[[#This Row],[Selected Sorted]]), "")</f>
        <v/>
      </c>
      <c r="AA14" t="s">
        <v>164</v>
      </c>
      <c r="AB14" t="s">
        <v>6</v>
      </c>
      <c r="AC14">
        <v>1</v>
      </c>
      <c r="AD14" s="1" t="str">
        <f>IFERROR(IF(INDEX(Items[Selected Count], MATCH(Recipes2[[#This Row],[Name]], Items[Name], 0)) &gt; 0, ROW() - ROW(Recipes2[#Headers]), ""), "")</f>
        <v/>
      </c>
      <c r="AE14" s="1" t="str">
        <f>IFERROR(SMALL(Recipes2[Selected], ROW() - ROW(Recipes2[#Headers])), "")</f>
        <v/>
      </c>
      <c r="AF14" s="1" t="str">
        <f>IFERROR(INDEX(Recipes2[Name], Recipes2[[#This Row],[Selected Sorted]]), "")</f>
        <v/>
      </c>
      <c r="AG14" s="1" t="str">
        <f>IFERROR(INDEX(Recipes2[Component], Recipes2[[#This Row],[Selected Sorted]]), "")</f>
        <v/>
      </c>
      <c r="AH14" s="1" t="str">
        <f>IFERROR(INDEX(Recipes2[Quantity], Recipes2[[#This Row],[Selected Sorted]]), "")</f>
        <v/>
      </c>
      <c r="AJ14" t="s">
        <v>189</v>
      </c>
      <c r="AK14" s="8">
        <v>1</v>
      </c>
    </row>
    <row r="15" spans="1:44" x14ac:dyDescent="0.25">
      <c r="A15" t="s">
        <v>159</v>
      </c>
      <c r="B15">
        <v>0.5</v>
      </c>
      <c r="C15" s="1">
        <f>MAX(Items[[#This Row],[Base Cycle Time]] / Items[[#This Row],[Speed]], MinInsertionTime) / Items[[#This Row],[Quantity Per Cycle]] / Items[[#This Row],[Bonus]]</f>
        <v>0.4</v>
      </c>
      <c r="D15" s="39">
        <v>1</v>
      </c>
      <c r="E15" t="s">
        <v>59</v>
      </c>
      <c r="F15" s="38">
        <f>INDEX(CraftingTypes[Speed], MATCH(Items[[#This Row],[Producer Type]], CraftingTypes[Producer Type], 0))</f>
        <v>1.25</v>
      </c>
      <c r="G15" s="38">
        <f>INDEX(CraftingTypes[Bonus], MATCH(Items[[#This Row],[Producer Type]], CraftingTypes[Producer Type], 0)) + 1</f>
        <v>1</v>
      </c>
      <c r="H15" s="38">
        <f>1 / Items[[#This Row],[Cycle Time for One]]</f>
        <v>2.5</v>
      </c>
      <c r="I15" s="36" t="b">
        <f>IFERROR(OR(Items[[#This Row],[Name]] = SelectedName, INDEX(CraftingTypes[Include], MATCH(Items[[#This Row],[Producer Type]], CraftingTypes[Producer Type], 0))), FALSE)</f>
        <v>1</v>
      </c>
      <c r="J15" s="38">
        <f>IF(Items[[#This Row],[Name]] = SelectedName, 1, IF(NOT(Items[[#This Row],[Include]]), 0, SUMIFS(RecipeTotals.Quantity, RecipeTotals.Name, SelectedName, RecipeTotals.Component, Items[[#This Row],[Name]])))</f>
        <v>0</v>
      </c>
      <c r="K15" s="38">
        <f>IFERROR(Items[[#This Row],[Selected Count]] / CycleTime.Actual, "")</f>
        <v>0</v>
      </c>
      <c r="L15" s="38">
        <f>IFERROR(Items[[#This Row],[Selected Per Second]] / Items[[#This Row],[Per Second]], "")</f>
        <v>0</v>
      </c>
      <c r="M15" s="38">
        <f>IFERROR(Items[[#This Row],[Selected Per Second]] / Items[[#This Row],[Per Second]], "")</f>
        <v>0</v>
      </c>
      <c r="N15" s="38">
        <f>IFERROR(CEILING(Items[[#This Row],[Fractional Producers for Selected Count]], 1), 0)</f>
        <v>0</v>
      </c>
      <c r="O15" s="38" t="str">
        <f>IF(AND(Items[[#This Row],[Producers For Selected Count]] &gt; 0, Items[[#This Row],[Include]]), ROW() - ROW(Items[#Headers]), "")</f>
        <v/>
      </c>
      <c r="P15" s="38" t="str">
        <f>IFERROR(SMALL(Items[Include Row Index], ROW() - ROW(Items[#Headers])), "")</f>
        <v/>
      </c>
      <c r="R15" t="s">
        <v>9</v>
      </c>
      <c r="S15" t="s">
        <v>8</v>
      </c>
      <c r="T15">
        <v>5</v>
      </c>
      <c r="U15" t="str">
        <f>IFERROR(IF(INDEX(Items[Selected Count], MATCH(Recipes[[#This Row],[Name]], Items[Name], 0)) &gt; 0, ROW() - ROW(Recipes[#Headers]), ""), "")</f>
        <v/>
      </c>
      <c r="V15" t="str">
        <f>IFERROR(SMALL(Recipes[Selected], ROW() - ROW(Recipes[#Headers])), "")</f>
        <v/>
      </c>
      <c r="W15" t="str">
        <f>IFERROR(INDEX(Recipes[Name], Recipes[[#This Row],[Selected Sorted]]), "")</f>
        <v/>
      </c>
      <c r="X15" t="str">
        <f>IFERROR(INDEX(Recipes[Component], Recipes[[#This Row],[Selected Sorted]]), "")</f>
        <v/>
      </c>
      <c r="Y15" s="1" t="str">
        <f>IFERROR(INDEX(Recipes[Quantity], Recipes[[#This Row],[Selected Sorted]]), "")</f>
        <v/>
      </c>
      <c r="AA15" t="s">
        <v>82</v>
      </c>
      <c r="AB15" t="s">
        <v>6</v>
      </c>
      <c r="AC15">
        <v>2</v>
      </c>
      <c r="AD15" s="1" t="str">
        <f>IFERROR(IF(INDEX(Items[Selected Count], MATCH(Recipes2[[#This Row],[Name]], Items[Name], 0)) &gt; 0, ROW() - ROW(Recipes2[#Headers]), ""), "")</f>
        <v/>
      </c>
      <c r="AE15" s="1" t="str">
        <f>IFERROR(SMALL(Recipes2[Selected], ROW() - ROW(Recipes2[#Headers])), "")</f>
        <v/>
      </c>
      <c r="AF15" s="1" t="str">
        <f>IFERROR(INDEX(Recipes2[Name], Recipes2[[#This Row],[Selected Sorted]]), "")</f>
        <v/>
      </c>
      <c r="AG15" s="1" t="str">
        <f>IFERROR(INDEX(Recipes2[Component], Recipes2[[#This Row],[Selected Sorted]]), "")</f>
        <v/>
      </c>
      <c r="AH15" s="1" t="str">
        <f>IFERROR(INDEX(Recipes2[Quantity], Recipes2[[#This Row],[Selected Sorted]]), "")</f>
        <v/>
      </c>
    </row>
    <row r="16" spans="1:44" x14ac:dyDescent="0.25">
      <c r="A16" t="s">
        <v>149</v>
      </c>
      <c r="B16">
        <v>4</v>
      </c>
      <c r="C16" s="1">
        <f>MAX(Items[[#This Row],[Base Cycle Time]] / Items[[#This Row],[Speed]], MinInsertionTime) / Items[[#This Row],[Quantity Per Cycle]] / Items[[#This Row],[Bonus]]</f>
        <v>3.2</v>
      </c>
      <c r="D16" s="39">
        <v>1</v>
      </c>
      <c r="E16" t="s">
        <v>59</v>
      </c>
      <c r="F16" s="38">
        <f>INDEX(CraftingTypes[Speed], MATCH(Items[[#This Row],[Producer Type]], CraftingTypes[Producer Type], 0))</f>
        <v>1.25</v>
      </c>
      <c r="G16" s="38">
        <f>INDEX(CraftingTypes[Bonus], MATCH(Items[[#This Row],[Producer Type]], CraftingTypes[Producer Type], 0)) + 1</f>
        <v>1</v>
      </c>
      <c r="H16" s="38">
        <f>1 / Items[[#This Row],[Cycle Time for One]]</f>
        <v>0.3125</v>
      </c>
      <c r="I16" s="36" t="b">
        <f>IFERROR(OR(Items[[#This Row],[Name]] = SelectedName, INDEX(CraftingTypes[Include], MATCH(Items[[#This Row],[Producer Type]], CraftingTypes[Producer Type], 0))), FALSE)</f>
        <v>1</v>
      </c>
      <c r="J16" s="38">
        <f>IF(Items[[#This Row],[Name]] = SelectedName, 1, IF(NOT(Items[[#This Row],[Include]]), 0, SUMIFS(RecipeTotals.Quantity, RecipeTotals.Name, SelectedName, RecipeTotals.Component, Items[[#This Row],[Name]])))</f>
        <v>0</v>
      </c>
      <c r="K16" s="38">
        <f>IFERROR(Items[[#This Row],[Selected Count]] / CycleTime.Actual, "")</f>
        <v>0</v>
      </c>
      <c r="L16" s="38">
        <f>IFERROR(Items[[#This Row],[Selected Per Second]] / Items[[#This Row],[Per Second]], "")</f>
        <v>0</v>
      </c>
      <c r="M16" s="38">
        <f>IFERROR(Items[[#This Row],[Selected Per Second]] / Items[[#This Row],[Per Second]], "")</f>
        <v>0</v>
      </c>
      <c r="N16" s="38">
        <f>IFERROR(CEILING(Items[[#This Row],[Fractional Producers for Selected Count]], 1), 0)</f>
        <v>0</v>
      </c>
      <c r="O16" s="38" t="str">
        <f>IF(AND(Items[[#This Row],[Producers For Selected Count]] &gt; 0, Items[[#This Row],[Include]]), ROW() - ROW(Items[#Headers]), "")</f>
        <v/>
      </c>
      <c r="P16" s="38" t="str">
        <f>IFERROR(SMALL(Items[Include Row Index], ROW() - ROW(Items[#Headers])), "")</f>
        <v/>
      </c>
      <c r="R16" t="s">
        <v>9</v>
      </c>
      <c r="S16" t="s">
        <v>2</v>
      </c>
      <c r="T16">
        <v>9</v>
      </c>
      <c r="U16" t="str">
        <f>IFERROR(IF(INDEX(Items[Selected Count], MATCH(Recipes[[#This Row],[Name]], Items[Name], 0)) &gt; 0, ROW() - ROW(Recipes[#Headers]), ""), "")</f>
        <v/>
      </c>
      <c r="V16" t="str">
        <f>IFERROR(SMALL(Recipes[Selected], ROW() - ROW(Recipes[#Headers])), "")</f>
        <v/>
      </c>
      <c r="W16" t="str">
        <f>IFERROR(INDEX(Recipes[Name], Recipes[[#This Row],[Selected Sorted]]), "")</f>
        <v/>
      </c>
      <c r="X16" t="str">
        <f>IFERROR(INDEX(Recipes[Component], Recipes[[#This Row],[Selected Sorted]]), "")</f>
        <v/>
      </c>
      <c r="Y16" s="1" t="str">
        <f>IFERROR(INDEX(Recipes[Quantity], Recipes[[#This Row],[Selected Sorted]]), "")</f>
        <v/>
      </c>
      <c r="AA16" t="s">
        <v>117</v>
      </c>
      <c r="AB16" t="s">
        <v>6</v>
      </c>
      <c r="AC16">
        <v>5</v>
      </c>
      <c r="AD16" s="1" t="str">
        <f>IFERROR(IF(INDEX(Items[Selected Count], MATCH(Recipes2[[#This Row],[Name]], Items[Name], 0)) &gt; 0, ROW() - ROW(Recipes2[#Headers]), ""), "")</f>
        <v/>
      </c>
      <c r="AE16" s="1" t="str">
        <f>IFERROR(SMALL(Recipes2[Selected], ROW() - ROW(Recipes2[#Headers])), "")</f>
        <v/>
      </c>
      <c r="AF16" s="1" t="str">
        <f>IFERROR(INDEX(Recipes2[Name], Recipes2[[#This Row],[Selected Sorted]]), "")</f>
        <v/>
      </c>
      <c r="AG16" s="1" t="str">
        <f>IFERROR(INDEX(Recipes2[Component], Recipes2[[#This Row],[Selected Sorted]]), "")</f>
        <v/>
      </c>
      <c r="AH16" s="1" t="str">
        <f>IFERROR(INDEX(Recipes2[Quantity], Recipes2[[#This Row],[Selected Sorted]]), "")</f>
        <v/>
      </c>
    </row>
    <row r="17" spans="1:34" x14ac:dyDescent="0.25">
      <c r="A17" t="s">
        <v>60</v>
      </c>
      <c r="B17">
        <v>5</v>
      </c>
      <c r="C17" s="1">
        <f>MAX(Items[[#This Row],[Base Cycle Time]] / Items[[#This Row],[Speed]], MinInsertionTime) / Items[[#This Row],[Quantity Per Cycle]] / Items[[#This Row],[Bonus]]</f>
        <v>4</v>
      </c>
      <c r="D17" s="39">
        <v>1</v>
      </c>
      <c r="E17" t="s">
        <v>59</v>
      </c>
      <c r="F17" s="38">
        <f>INDEX(CraftingTypes[Speed], MATCH(Items[[#This Row],[Producer Type]], CraftingTypes[Producer Type], 0))</f>
        <v>1.25</v>
      </c>
      <c r="G17" s="38">
        <f>INDEX(CraftingTypes[Bonus], MATCH(Items[[#This Row],[Producer Type]], CraftingTypes[Producer Type], 0)) + 1</f>
        <v>1</v>
      </c>
      <c r="H17" s="38">
        <f>1 / Items[[#This Row],[Cycle Time for One]]</f>
        <v>0.25</v>
      </c>
      <c r="I17" s="36" t="b">
        <f>IFERROR(OR(Items[[#This Row],[Name]] = SelectedName, INDEX(CraftingTypes[Include], MATCH(Items[[#This Row],[Producer Type]], CraftingTypes[Producer Type], 0))), FALSE)</f>
        <v>1</v>
      </c>
      <c r="J17" s="38">
        <f>IF(Items[[#This Row],[Name]] = SelectedName, 1, IF(NOT(Items[[#This Row],[Include]]), 0, SUMIFS(RecipeTotals.Quantity, RecipeTotals.Name, SelectedName, RecipeTotals.Component, Items[[#This Row],[Name]])))</f>
        <v>0</v>
      </c>
      <c r="K17" s="38">
        <f>IFERROR(Items[[#This Row],[Selected Count]] / CycleTime.Actual, "")</f>
        <v>0</v>
      </c>
      <c r="L17" s="38">
        <f>IFERROR(Items[[#This Row],[Selected Per Second]] / Items[[#This Row],[Per Second]], "")</f>
        <v>0</v>
      </c>
      <c r="M17" s="38">
        <f>IFERROR(Items[[#This Row],[Selected Per Second]] / Items[[#This Row],[Per Second]], "")</f>
        <v>0</v>
      </c>
      <c r="N17" s="38">
        <f>IFERROR(CEILING(Items[[#This Row],[Fractional Producers for Selected Count]], 1), 0)</f>
        <v>0</v>
      </c>
      <c r="O17" s="38" t="str">
        <f>IF(AND(Items[[#This Row],[Producers For Selected Count]] &gt; 0, Items[[#This Row],[Include]]), ROW() - ROW(Items[#Headers]), "")</f>
        <v/>
      </c>
      <c r="P17" s="38" t="str">
        <f>IFERROR(SMALL(Items[Include Row Index], ROW() - ROW(Items[#Headers])), "")</f>
        <v/>
      </c>
      <c r="R17" t="s">
        <v>10</v>
      </c>
      <c r="S17" t="s">
        <v>9</v>
      </c>
      <c r="T17">
        <v>1</v>
      </c>
      <c r="U17" t="str">
        <f>IFERROR(IF(INDEX(Items[Selected Count], MATCH(Recipes[[#This Row],[Name]], Items[Name], 0)) &gt; 0, ROW() - ROW(Recipes[#Headers]), ""), "")</f>
        <v/>
      </c>
      <c r="V17" t="str">
        <f>IFERROR(SMALL(Recipes[Selected], ROW() - ROW(Recipes[#Headers])), "")</f>
        <v/>
      </c>
      <c r="W17" t="str">
        <f>IFERROR(INDEX(Recipes[Name], Recipes[[#This Row],[Selected Sorted]]), "")</f>
        <v/>
      </c>
      <c r="X17" t="str">
        <f>IFERROR(INDEX(Recipes[Component], Recipes[[#This Row],[Selected Sorted]]), "")</f>
        <v/>
      </c>
      <c r="Y17" s="1" t="str">
        <f>IFERROR(INDEX(Recipes[Quantity], Recipes[[#This Row],[Selected Sorted]]), "")</f>
        <v/>
      </c>
      <c r="AA17" t="s">
        <v>118</v>
      </c>
      <c r="AB17" t="s">
        <v>6</v>
      </c>
      <c r="AC17">
        <v>5</v>
      </c>
      <c r="AD17" s="1" t="str">
        <f>IFERROR(IF(INDEX(Items[Selected Count], MATCH(Recipes2[[#This Row],[Name]], Items[Name], 0)) &gt; 0, ROW() - ROW(Recipes2[#Headers]), ""), "")</f>
        <v/>
      </c>
      <c r="AE17" s="1" t="str">
        <f>IFERROR(SMALL(Recipes2[Selected], ROW() - ROW(Recipes2[#Headers])), "")</f>
        <v/>
      </c>
      <c r="AF17" s="1" t="str">
        <f>IFERROR(INDEX(Recipes2[Name], Recipes2[[#This Row],[Selected Sorted]]), "")</f>
        <v/>
      </c>
      <c r="AG17" s="1" t="str">
        <f>IFERROR(INDEX(Recipes2[Component], Recipes2[[#This Row],[Selected Sorted]]), "")</f>
        <v/>
      </c>
      <c r="AH17" s="1" t="str">
        <f>IFERROR(INDEX(Recipes2[Quantity], Recipes2[[#This Row],[Selected Sorted]]), "")</f>
        <v/>
      </c>
    </row>
    <row r="18" spans="1:34" x14ac:dyDescent="0.25">
      <c r="A18" t="s">
        <v>38</v>
      </c>
      <c r="B18">
        <f>IF(MinerType = "Electric Mining Drill", 0.525, 0.28)</f>
        <v>0.52500000000000002</v>
      </c>
      <c r="C18">
        <f>MAX(Items[[#This Row],[Base Cycle Time]] / Items[[#This Row],[Speed]], MinInsertionTime) / Items[[#This Row],[Quantity Per Cycle]] / Items[[#This Row],[Bonus]]</f>
        <v>1</v>
      </c>
      <c r="D18" s="39">
        <v>1</v>
      </c>
      <c r="E18" t="s">
        <v>194</v>
      </c>
      <c r="F18" s="39">
        <f>INDEX(CraftingTypes[Speed], MATCH(Items[[#This Row],[Producer Type]], CraftingTypes[Producer Type], 0))</f>
        <v>0.52500000000000002</v>
      </c>
      <c r="G18" s="39">
        <f>INDEX(CraftingTypes[Bonus], MATCH(Items[[#This Row],[Producer Type]], CraftingTypes[Producer Type], 0)) + 1</f>
        <v>1</v>
      </c>
      <c r="H18" s="38">
        <f>1 / Items[[#This Row],[Cycle Time for One]]</f>
        <v>1</v>
      </c>
      <c r="I18" s="36" t="b">
        <f>IFERROR(OR(Items[[#This Row],[Name]] = SelectedName, INDEX(CraftingTypes[Include], MATCH(Items[[#This Row],[Producer Type]], CraftingTypes[Producer Type], 0))), FALSE)</f>
        <v>1</v>
      </c>
      <c r="J18" s="38">
        <f>IF(Items[[#This Row],[Name]] = SelectedName, 1, IF(NOT(Items[[#This Row],[Include]]), 0, SUMIFS(RecipeTotals.Quantity, RecipeTotals.Name, SelectedName, RecipeTotals.Component, Items[[#This Row],[Name]])))</f>
        <v>0</v>
      </c>
      <c r="K18" s="38">
        <f>IFERROR(Items[[#This Row],[Selected Count]] / CycleTime.Actual, "")</f>
        <v>0</v>
      </c>
      <c r="L18" s="38">
        <f>IFERROR(Items[[#This Row],[Selected Per Second]] / Items[[#This Row],[Per Second]], "")</f>
        <v>0</v>
      </c>
      <c r="M18" s="38">
        <f>IFERROR(Items[[#This Row],[Selected Per Second]] / Items[[#This Row],[Per Second]], "")</f>
        <v>0</v>
      </c>
      <c r="N18" s="38">
        <f>IFERROR(CEILING(Items[[#This Row],[Fractional Producers for Selected Count]], 1), 0)</f>
        <v>0</v>
      </c>
      <c r="O18" s="38" t="str">
        <f>IF(AND(Items[[#This Row],[Producers For Selected Count]] &gt; 0, Items[[#This Row],[Include]]), ROW() - ROW(Items[#Headers]), "")</f>
        <v/>
      </c>
      <c r="P18" s="38" t="str">
        <f>IFERROR(SMALL(Items[Include Row Index], ROW() - ROW(Items[#Headers])), "")</f>
        <v/>
      </c>
      <c r="R18" t="s">
        <v>10</v>
      </c>
      <c r="S18" t="s">
        <v>0</v>
      </c>
      <c r="T18">
        <v>4</v>
      </c>
      <c r="U18" t="str">
        <f>IFERROR(IF(INDEX(Items[Selected Count], MATCH(Recipes[[#This Row],[Name]], Items[Name], 0)) &gt; 0, ROW() - ROW(Recipes[#Headers]), ""), "")</f>
        <v/>
      </c>
      <c r="V18" t="str">
        <f>IFERROR(SMALL(Recipes[Selected], ROW() - ROW(Recipes[#Headers])), "")</f>
        <v/>
      </c>
      <c r="W18" t="str">
        <f>IFERROR(INDEX(Recipes[Name], Recipes[[#This Row],[Selected Sorted]]), "")</f>
        <v/>
      </c>
      <c r="X18" t="str">
        <f>IFERROR(INDEX(Recipes[Component], Recipes[[#This Row],[Selected Sorted]]), "")</f>
        <v/>
      </c>
      <c r="Y18" s="1" t="str">
        <f>IFERROR(INDEX(Recipes[Quantity], Recipes[[#This Row],[Selected Sorted]]), "")</f>
        <v/>
      </c>
      <c r="AA18" t="s">
        <v>119</v>
      </c>
      <c r="AB18" t="s">
        <v>6</v>
      </c>
      <c r="AC18">
        <v>5</v>
      </c>
      <c r="AD18" s="1" t="str">
        <f>IFERROR(IF(INDEX(Items[Selected Count], MATCH(Recipes2[[#This Row],[Name]], Items[Name], 0)) &gt; 0, ROW() - ROW(Recipes2[#Headers]), ""), "")</f>
        <v/>
      </c>
      <c r="AE18" s="1" t="str">
        <f>IFERROR(SMALL(Recipes2[Selected], ROW() - ROW(Recipes2[#Headers])), "")</f>
        <v/>
      </c>
      <c r="AF18" s="1" t="str">
        <f>IFERROR(INDEX(Recipes2[Name], Recipes2[[#This Row],[Selected Sorted]]), "")</f>
        <v/>
      </c>
      <c r="AG18" s="1" t="str">
        <f>IFERROR(INDEX(Recipes2[Component], Recipes2[[#This Row],[Selected Sorted]]), "")</f>
        <v/>
      </c>
      <c r="AH18" s="1" t="str">
        <f>IFERROR(INDEX(Recipes2[Quantity], Recipes2[[#This Row],[Selected Sorted]]), "")</f>
        <v/>
      </c>
    </row>
    <row r="19" spans="1:34" x14ac:dyDescent="0.25">
      <c r="A19" t="s">
        <v>146</v>
      </c>
      <c r="B19">
        <v>10</v>
      </c>
      <c r="C19" s="1">
        <f>MAX(Items[[#This Row],[Base Cycle Time]] / Items[[#This Row],[Speed]], MinInsertionTime) / Items[[#This Row],[Quantity Per Cycle]] / Items[[#This Row],[Bonus]]</f>
        <v>0.8</v>
      </c>
      <c r="D19" s="39">
        <v>10</v>
      </c>
      <c r="E19" t="s">
        <v>59</v>
      </c>
      <c r="F19" s="38">
        <f>INDEX(CraftingTypes[Speed], MATCH(Items[[#This Row],[Producer Type]], CraftingTypes[Producer Type], 0))</f>
        <v>1.25</v>
      </c>
      <c r="G19" s="38">
        <f>INDEX(CraftingTypes[Bonus], MATCH(Items[[#This Row],[Producer Type]], CraftingTypes[Producer Type], 0)) + 1</f>
        <v>1</v>
      </c>
      <c r="H19" s="38">
        <f>1 / Items[[#This Row],[Cycle Time for One]]</f>
        <v>1.25</v>
      </c>
      <c r="I19" s="36" t="b">
        <f>IFERROR(OR(Items[[#This Row],[Name]] = SelectedName, INDEX(CraftingTypes[Include], MATCH(Items[[#This Row],[Producer Type]], CraftingTypes[Producer Type], 0))), FALSE)</f>
        <v>1</v>
      </c>
      <c r="J19" s="38">
        <f>IF(Items[[#This Row],[Name]] = SelectedName, 1, IF(NOT(Items[[#This Row],[Include]]), 0, SUMIFS(RecipeTotals.Quantity, RecipeTotals.Name, SelectedName, RecipeTotals.Component, Items[[#This Row],[Name]])))</f>
        <v>0</v>
      </c>
      <c r="K19" s="38">
        <f>IFERROR(Items[[#This Row],[Selected Count]] / CycleTime.Actual, "")</f>
        <v>0</v>
      </c>
      <c r="L19" s="38">
        <f>IFERROR(Items[[#This Row],[Selected Per Second]] / Items[[#This Row],[Per Second]], "")</f>
        <v>0</v>
      </c>
      <c r="M19" s="38">
        <f>IFERROR(Items[[#This Row],[Selected Per Second]] / Items[[#This Row],[Per Second]], "")</f>
        <v>0</v>
      </c>
      <c r="N19" s="38">
        <f>IFERROR(CEILING(Items[[#This Row],[Fractional Producers for Selected Count]], 1), 0)</f>
        <v>0</v>
      </c>
      <c r="O19" s="38" t="str">
        <f>IF(AND(Items[[#This Row],[Producers For Selected Count]] &gt; 0, Items[[#This Row],[Include]]), ROW() - ROW(Items[#Headers]), "")</f>
        <v/>
      </c>
      <c r="P19" s="38" t="str">
        <f>IFERROR(SMALL(Items[Include Row Index], ROW() - ROW(Items[#Headers])), "")</f>
        <v/>
      </c>
      <c r="R19" t="s">
        <v>52</v>
      </c>
      <c r="S19" t="s">
        <v>4</v>
      </c>
      <c r="T19">
        <v>1</v>
      </c>
      <c r="U19" s="1" t="str">
        <f>IFERROR(IF(INDEX(Items[Selected Count], MATCH(Recipes[[#This Row],[Name]], Items[Name], 0)) &gt; 0, ROW() - ROW(Recipes[#Headers]), ""), "")</f>
        <v/>
      </c>
      <c r="V19" s="1" t="str">
        <f>IFERROR(SMALL(Recipes[Selected], ROW() - ROW(Recipes[#Headers])), "")</f>
        <v/>
      </c>
      <c r="W19" s="1" t="str">
        <f>IFERROR(INDEX(Recipes[Name], Recipes[[#This Row],[Selected Sorted]]), "")</f>
        <v/>
      </c>
      <c r="X19" s="1" t="str">
        <f>IFERROR(INDEX(Recipes[Component], Recipes[[#This Row],[Selected Sorted]]), "")</f>
        <v/>
      </c>
      <c r="Y19" s="1" t="str">
        <f>IFERROR(INDEX(Recipes[Quantity], Recipes[[#This Row],[Selected Sorted]]), "")</f>
        <v/>
      </c>
      <c r="AA19" t="s">
        <v>165</v>
      </c>
      <c r="AB19" t="s">
        <v>6</v>
      </c>
      <c r="AC19">
        <v>1</v>
      </c>
      <c r="AD19" s="1" t="str">
        <f>IFERROR(IF(INDEX(Items[Selected Count], MATCH(Recipes2[[#This Row],[Name]], Items[Name], 0)) &gt; 0, ROW() - ROW(Recipes2[#Headers]), ""), "")</f>
        <v/>
      </c>
      <c r="AE19" s="1" t="str">
        <f>IFERROR(SMALL(Recipes2[Selected], ROW() - ROW(Recipes2[#Headers])), "")</f>
        <v/>
      </c>
      <c r="AF19" s="1" t="str">
        <f>IFERROR(INDEX(Recipes2[Name], Recipes2[[#This Row],[Selected Sorted]]), "")</f>
        <v/>
      </c>
      <c r="AG19" s="1" t="str">
        <f>IFERROR(INDEX(Recipes2[Component], Recipes2[[#This Row],[Selected Sorted]]), "")</f>
        <v/>
      </c>
      <c r="AH19" s="1" t="str">
        <f>IFERROR(INDEX(Recipes2[Quantity], Recipes2[[#This Row],[Selected Sorted]]), "")</f>
        <v/>
      </c>
    </row>
    <row r="20" spans="1:34" x14ac:dyDescent="0.25">
      <c r="A20" t="s">
        <v>56</v>
      </c>
      <c r="B20">
        <v>0.5</v>
      </c>
      <c r="C20">
        <f>MAX(Items[[#This Row],[Base Cycle Time]] / Items[[#This Row],[Speed]], MinInsertionTime) / Items[[#This Row],[Quantity Per Cycle]] / Items[[#This Row],[Bonus]]</f>
        <v>0.4</v>
      </c>
      <c r="D20" s="39">
        <v>1</v>
      </c>
      <c r="E20" t="s">
        <v>59</v>
      </c>
      <c r="F20" s="39">
        <f>INDEX(CraftingTypes[Speed], MATCH(Items[[#This Row],[Producer Type]], CraftingTypes[Producer Type], 0))</f>
        <v>1.25</v>
      </c>
      <c r="G20" s="39">
        <f>INDEX(CraftingTypes[Bonus], MATCH(Items[[#This Row],[Producer Type]], CraftingTypes[Producer Type], 0)) + 1</f>
        <v>1</v>
      </c>
      <c r="H20" s="38">
        <f>1 / Items[[#This Row],[Cycle Time for One]]</f>
        <v>2.5</v>
      </c>
      <c r="I20" s="36" t="b">
        <f>IFERROR(OR(Items[[#This Row],[Name]] = SelectedName, INDEX(CraftingTypes[Include], MATCH(Items[[#This Row],[Producer Type]], CraftingTypes[Producer Type], 0))), FALSE)</f>
        <v>1</v>
      </c>
      <c r="J20" s="38">
        <f>IF(Items[[#This Row],[Name]] = SelectedName, 1, IF(NOT(Items[[#This Row],[Include]]), 0, SUMIFS(RecipeTotals.Quantity, RecipeTotals.Name, SelectedName, RecipeTotals.Component, Items[[#This Row],[Name]])))</f>
        <v>0</v>
      </c>
      <c r="K20" s="38">
        <f>IFERROR(Items[[#This Row],[Selected Count]] / CycleTime.Actual, "")</f>
        <v>0</v>
      </c>
      <c r="L20" s="38">
        <f>IFERROR(Items[[#This Row],[Selected Per Second]] / Items[[#This Row],[Per Second]], "")</f>
        <v>0</v>
      </c>
      <c r="M20" s="38">
        <f>IFERROR(Items[[#This Row],[Selected Per Second]] / Items[[#This Row],[Per Second]], "")</f>
        <v>0</v>
      </c>
      <c r="N20" s="38">
        <f>IFERROR(CEILING(Items[[#This Row],[Fractional Producers for Selected Count]], 1), 0)</f>
        <v>0</v>
      </c>
      <c r="O20" s="38" t="str">
        <f>IF(AND(Items[[#This Row],[Producers For Selected Count]] &gt; 0, Items[[#This Row],[Include]]), ROW() - ROW(Items[#Headers]), "")</f>
        <v/>
      </c>
      <c r="P20" s="38" t="str">
        <f>IFERROR(SMALL(Items[Include Row Index], ROW() - ROW(Items[#Headers])), "")</f>
        <v/>
      </c>
      <c r="R20" t="s">
        <v>52</v>
      </c>
      <c r="S20" t="s">
        <v>2</v>
      </c>
      <c r="T20">
        <v>1</v>
      </c>
      <c r="U20" s="1" t="str">
        <f>IFERROR(IF(INDEX(Items[Selected Count], MATCH(Recipes[[#This Row],[Name]], Items[Name], 0)) &gt; 0, ROW() - ROW(Recipes[#Headers]), ""), "")</f>
        <v/>
      </c>
      <c r="V20" s="1" t="str">
        <f>IFERROR(SMALL(Recipes[Selected], ROW() - ROW(Recipes[#Headers])), "")</f>
        <v/>
      </c>
      <c r="W20" s="1" t="str">
        <f>IFERROR(INDEX(Recipes[Name], Recipes[[#This Row],[Selected Sorted]]), "")</f>
        <v/>
      </c>
      <c r="X20" s="1" t="str">
        <f>IFERROR(INDEX(Recipes[Component], Recipes[[#This Row],[Selected Sorted]]), "")</f>
        <v/>
      </c>
      <c r="Y20" s="1" t="str">
        <f>IFERROR(INDEX(Recipes[Quantity], Recipes[[#This Row],[Selected Sorted]]), "")</f>
        <v/>
      </c>
      <c r="AA20" t="s">
        <v>120</v>
      </c>
      <c r="AB20" t="s">
        <v>6</v>
      </c>
      <c r="AC20">
        <v>45</v>
      </c>
      <c r="AD20" s="1" t="str">
        <f>IFERROR(IF(INDEX(Items[Selected Count], MATCH(Recipes2[[#This Row],[Name]], Items[Name], 0)) &gt; 0, ROW() - ROW(Recipes2[#Headers]), ""), "")</f>
        <v/>
      </c>
      <c r="AE20" s="1" t="str">
        <f>IFERROR(SMALL(Recipes2[Selected], ROW() - ROW(Recipes2[#Headers])), "")</f>
        <v/>
      </c>
      <c r="AF20" s="1" t="str">
        <f>IFERROR(INDEX(Recipes2[Name], Recipes2[[#This Row],[Selected Sorted]]), "")</f>
        <v/>
      </c>
      <c r="AG20" s="1" t="str">
        <f>IFERROR(INDEX(Recipes2[Component], Recipes2[[#This Row],[Selected Sorted]]), "")</f>
        <v/>
      </c>
      <c r="AH20" s="1" t="str">
        <f>IFERROR(INDEX(Recipes2[Quantity], Recipes2[[#This Row],[Selected Sorted]]), "")</f>
        <v/>
      </c>
    </row>
    <row r="21" spans="1:34" x14ac:dyDescent="0.25">
      <c r="A21" t="s">
        <v>1</v>
      </c>
      <c r="B21">
        <v>0.5</v>
      </c>
      <c r="C21">
        <f>MAX(Items[[#This Row],[Base Cycle Time]] / Items[[#This Row],[Speed]], MinInsertionTime) / Items[[#This Row],[Quantity Per Cycle]] / Items[[#This Row],[Bonus]]</f>
        <v>0.2</v>
      </c>
      <c r="D21" s="39">
        <v>2</v>
      </c>
      <c r="E21" t="s">
        <v>59</v>
      </c>
      <c r="F21" s="39">
        <f>INDEX(CraftingTypes[Speed], MATCH(Items[[#This Row],[Producer Type]], CraftingTypes[Producer Type], 0))</f>
        <v>1.25</v>
      </c>
      <c r="G21" s="39">
        <f>INDEX(CraftingTypes[Bonus], MATCH(Items[[#This Row],[Producer Type]], CraftingTypes[Producer Type], 0)) + 1</f>
        <v>1</v>
      </c>
      <c r="H21" s="39">
        <f>1 / Items[[#This Row],[Cycle Time for One]]</f>
        <v>5</v>
      </c>
      <c r="I21" s="37" t="b">
        <f>IFERROR(OR(Items[[#This Row],[Name]] = SelectedName, INDEX(CraftingTypes[Include], MATCH(Items[[#This Row],[Producer Type]], CraftingTypes[Producer Type], 0))), FALSE)</f>
        <v>1</v>
      </c>
      <c r="J21" s="39">
        <f>IF(Items[[#This Row],[Name]] = SelectedName, 1, IF(NOT(Items[[#This Row],[Include]]), 0, SUMIFS(RecipeTotals.Quantity, RecipeTotals.Name, SelectedName, RecipeTotals.Component, Items[[#This Row],[Name]])))</f>
        <v>3</v>
      </c>
      <c r="K21" s="39">
        <f>IFERROR(Items[[#This Row],[Selected Count]] / CycleTime.Actual, "")</f>
        <v>7.5</v>
      </c>
      <c r="L21" s="39">
        <f>IFERROR(Items[[#This Row],[Selected Per Second]] / Items[[#This Row],[Per Second]], "")</f>
        <v>1.5</v>
      </c>
      <c r="M21" s="39">
        <f>IFERROR(Items[[#This Row],[Selected Per Second]] / Items[[#This Row],[Per Second]], "")</f>
        <v>1.5</v>
      </c>
      <c r="N21" s="39">
        <f>IFERROR(CEILING(Items[[#This Row],[Fractional Producers for Selected Count]], 1), 0)</f>
        <v>2</v>
      </c>
      <c r="O21" s="38">
        <f>IF(AND(Items[[#This Row],[Producers For Selected Count]] &gt; 0, Items[[#This Row],[Include]]), ROW() - ROW(Items[#Headers]), "")</f>
        <v>20</v>
      </c>
      <c r="P21" s="38" t="str">
        <f>IFERROR(SMALL(Items[Include Row Index], ROW() - ROW(Items[#Headers])), "")</f>
        <v/>
      </c>
      <c r="R21" t="s">
        <v>52</v>
      </c>
      <c r="S21" t="s">
        <v>62</v>
      </c>
      <c r="T21">
        <v>20</v>
      </c>
      <c r="U21" s="1" t="str">
        <f>IFERROR(IF(INDEX(Items[Selected Count], MATCH(Recipes[[#This Row],[Name]], Items[Name], 0)) &gt; 0, ROW() - ROW(Recipes[#Headers]), ""), "")</f>
        <v/>
      </c>
      <c r="V21" s="1" t="str">
        <f>IFERROR(SMALL(Recipes[Selected], ROW() - ROW(Recipes[#Headers])), "")</f>
        <v/>
      </c>
      <c r="W21" s="1" t="str">
        <f>IFERROR(INDEX(Recipes[Name], Recipes[[#This Row],[Selected Sorted]]), "")</f>
        <v/>
      </c>
      <c r="X21" s="1" t="str">
        <f>IFERROR(INDEX(Recipes[Component], Recipes[[#This Row],[Selected Sorted]]), "")</f>
        <v/>
      </c>
      <c r="Y21" s="1" t="str">
        <f>IFERROR(INDEX(Recipes[Quantity], Recipes[[#This Row],[Selected Sorted]]), "")</f>
        <v/>
      </c>
      <c r="AA21" t="s">
        <v>50</v>
      </c>
      <c r="AB21" t="s">
        <v>6</v>
      </c>
      <c r="AC21">
        <v>1</v>
      </c>
      <c r="AD21" t="str">
        <f>IFERROR(IF(INDEX(Items[Selected Count], MATCH(Recipes2[[#This Row],[Name]], Items[Name], 0)) &gt; 0, ROW() - ROW(Recipes2[#Headers]), ""), "")</f>
        <v/>
      </c>
      <c r="AE21" t="str">
        <f>IFERROR(SMALL(Recipes2[Selected], ROW() - ROW(Recipes2[#Headers])), "")</f>
        <v/>
      </c>
      <c r="AF21" t="str">
        <f>IFERROR(INDEX(Recipes2[Name], Recipes2[[#This Row],[Selected Sorted]]), "")</f>
        <v/>
      </c>
      <c r="AG21" t="str">
        <f>IFERROR(INDEX(Recipes2[Component], Recipes2[[#This Row],[Selected Sorted]]), "")</f>
        <v/>
      </c>
      <c r="AH21" s="1" t="str">
        <f>IFERROR(INDEX(Recipes2[Quantity], Recipes2[[#This Row],[Selected Sorted]]), "")</f>
        <v/>
      </c>
    </row>
    <row r="22" spans="1:34" x14ac:dyDescent="0.25">
      <c r="A22" t="s">
        <v>86</v>
      </c>
      <c r="B22">
        <f>IF(MinerType = "Electric Mining Drill", 0.525, 0.28)</f>
        <v>0.52500000000000002</v>
      </c>
      <c r="C22">
        <f>MAX(Items[[#This Row],[Base Cycle Time]] / Items[[#This Row],[Speed]], MinInsertionTime) / Items[[#This Row],[Quantity Per Cycle]] / Items[[#This Row],[Bonus]]</f>
        <v>1</v>
      </c>
      <c r="D22" s="39">
        <v>1</v>
      </c>
      <c r="E22" t="s">
        <v>194</v>
      </c>
      <c r="F22" s="39">
        <f>INDEX(CraftingTypes[Speed], MATCH(Items[[#This Row],[Producer Type]], CraftingTypes[Producer Type], 0))</f>
        <v>0.52500000000000002</v>
      </c>
      <c r="G22" s="39">
        <f>INDEX(CraftingTypes[Bonus], MATCH(Items[[#This Row],[Producer Type]], CraftingTypes[Producer Type], 0)) + 1</f>
        <v>1</v>
      </c>
      <c r="H22" s="38">
        <f>1 / Items[[#This Row],[Cycle Time for One]]</f>
        <v>1</v>
      </c>
      <c r="I22" s="36" t="b">
        <f>IFERROR(OR(Items[[#This Row],[Name]] = SelectedName, INDEX(CraftingTypes[Include], MATCH(Items[[#This Row],[Producer Type]], CraftingTypes[Producer Type], 0))), FALSE)</f>
        <v>1</v>
      </c>
      <c r="J22" s="38">
        <f>IF(Items[[#This Row],[Name]] = SelectedName, 1, IF(NOT(Items[[#This Row],[Include]]), 0, SUMIFS(RecipeTotals.Quantity, RecipeTotals.Name, SelectedName, RecipeTotals.Component, Items[[#This Row],[Name]])))</f>
        <v>1.5</v>
      </c>
      <c r="K22" s="38">
        <f>IFERROR(Items[[#This Row],[Selected Count]] / CycleTime.Actual, "")</f>
        <v>3.75</v>
      </c>
      <c r="L22" s="38">
        <f>IFERROR(Items[[#This Row],[Selected Per Second]] / Items[[#This Row],[Per Second]], "")</f>
        <v>3.75</v>
      </c>
      <c r="M22" s="38">
        <f>IFERROR(Items[[#This Row],[Selected Per Second]] / Items[[#This Row],[Per Second]], "")</f>
        <v>3.75</v>
      </c>
      <c r="N22" s="38">
        <f>IFERROR(CEILING(Items[[#This Row],[Fractional Producers for Selected Count]], 1), 0)</f>
        <v>4</v>
      </c>
      <c r="O22" s="38">
        <f>IF(AND(Items[[#This Row],[Producers For Selected Count]] &gt; 0, Items[[#This Row],[Include]]), ROW() - ROW(Items[#Headers]), "")</f>
        <v>21</v>
      </c>
      <c r="P22" s="38" t="str">
        <f>IFERROR(SMALL(Items[Include Row Index], ROW() - ROW(Items[#Headers])), "")</f>
        <v/>
      </c>
      <c r="R22" t="s">
        <v>121</v>
      </c>
      <c r="S22" t="s">
        <v>6</v>
      </c>
      <c r="T22">
        <v>20</v>
      </c>
      <c r="U22" s="1" t="str">
        <f>IFERROR(IF(INDEX(Items[Selected Count], MATCH(Recipes[[#This Row],[Name]], Items[Name], 0)) &gt; 0, ROW() - ROW(Recipes[#Headers]), ""), "")</f>
        <v/>
      </c>
      <c r="V22" s="1" t="str">
        <f>IFERROR(SMALL(Recipes[Selected], ROW() - ROW(Recipes[#Headers])), "")</f>
        <v/>
      </c>
      <c r="W22" s="1" t="str">
        <f>IFERROR(INDEX(Recipes[Name], Recipes[[#This Row],[Selected Sorted]]), "")</f>
        <v/>
      </c>
      <c r="X22" s="1" t="str">
        <f>IFERROR(INDEX(Recipes[Component], Recipes[[#This Row],[Selected Sorted]]), "")</f>
        <v/>
      </c>
      <c r="Y22" s="1" t="str">
        <f>IFERROR(INDEX(Recipes[Quantity], Recipes[[#This Row],[Selected Sorted]]), "")</f>
        <v/>
      </c>
      <c r="AA22" t="s">
        <v>0</v>
      </c>
      <c r="AB22" t="s">
        <v>6</v>
      </c>
      <c r="AC22">
        <v>5</v>
      </c>
      <c r="AD22" t="str">
        <f>IFERROR(IF(INDEX(Items[Selected Count], MATCH(Recipes2[[#This Row],[Name]], Items[Name], 0)) &gt; 0, ROW() - ROW(Recipes2[#Headers]), ""), "")</f>
        <v/>
      </c>
      <c r="AE22" t="str">
        <f>IFERROR(SMALL(Recipes2[Selected], ROW() - ROW(Recipes2[#Headers])), "")</f>
        <v/>
      </c>
      <c r="AF22" t="str">
        <f>IFERROR(INDEX(Recipes2[Name], Recipes2[[#This Row],[Selected Sorted]]), "")</f>
        <v/>
      </c>
      <c r="AG22" t="str">
        <f>IFERROR(INDEX(Recipes2[Component], Recipes2[[#This Row],[Selected Sorted]]), "")</f>
        <v/>
      </c>
      <c r="AH22" s="1" t="str">
        <f>IFERROR(INDEX(Recipes2[Quantity], Recipes2[[#This Row],[Selected Sorted]]), "")</f>
        <v/>
      </c>
    </row>
    <row r="23" spans="1:34" x14ac:dyDescent="0.25">
      <c r="A23" t="s">
        <v>4</v>
      </c>
      <c r="B23">
        <v>3.5</v>
      </c>
      <c r="C23">
        <f>MAX(Items[[#This Row],[Base Cycle Time]] / Items[[#This Row],[Speed]], MinInsertionTime) / Items[[#This Row],[Quantity Per Cycle]] / Items[[#This Row],[Bonus]]</f>
        <v>0.58333333333333337</v>
      </c>
      <c r="D23" s="39">
        <v>1</v>
      </c>
      <c r="E23" t="s">
        <v>61</v>
      </c>
      <c r="F23" s="39">
        <f>INDEX(CraftingTypes[Speed], MATCH(Items[[#This Row],[Producer Type]], CraftingTypes[Producer Type], 0))</f>
        <v>6</v>
      </c>
      <c r="G23" s="39">
        <f>INDEX(CraftingTypes[Bonus], MATCH(Items[[#This Row],[Producer Type]], CraftingTypes[Producer Type], 0)) + 1</f>
        <v>1</v>
      </c>
      <c r="H23" s="39">
        <f>1 / Items[[#This Row],[Cycle Time for One]]</f>
        <v>1.7142857142857142</v>
      </c>
      <c r="I23" s="37" t="b">
        <f>IFERROR(OR(Items[[#This Row],[Name]] = SelectedName, INDEX(CraftingTypes[Include], MATCH(Items[[#This Row],[Producer Type]], CraftingTypes[Producer Type], 0))), FALSE)</f>
        <v>1</v>
      </c>
      <c r="J23" s="39">
        <f>IF(Items[[#This Row],[Name]] = SelectedName, 1, IF(NOT(Items[[#This Row],[Include]]), 0, SUMIFS(RecipeTotals.Quantity, RecipeTotals.Name, SelectedName, RecipeTotals.Component, Items[[#This Row],[Name]])))</f>
        <v>1.5</v>
      </c>
      <c r="K23" s="39">
        <f>IFERROR(Items[[#This Row],[Selected Count]] / CycleTime.Actual, "")</f>
        <v>3.75</v>
      </c>
      <c r="L23" s="39">
        <f>IFERROR(Items[[#This Row],[Selected Per Second]] / Items[[#This Row],[Per Second]], "")</f>
        <v>2.1875</v>
      </c>
      <c r="M23" s="39">
        <f>IFERROR(Items[[#This Row],[Selected Per Second]] / Items[[#This Row],[Per Second]], "")</f>
        <v>2.1875</v>
      </c>
      <c r="N23" s="39">
        <f>IFERROR(CEILING(Items[[#This Row],[Fractional Producers for Selected Count]], 1), 0)</f>
        <v>3</v>
      </c>
      <c r="O23" s="38">
        <f>IF(AND(Items[[#This Row],[Producers For Selected Count]] &gt; 0, Items[[#This Row],[Include]]), ROW() - ROW(Items[#Headers]), "")</f>
        <v>22</v>
      </c>
      <c r="P23" s="38" t="str">
        <f>IFERROR(SMALL(Items[Include Row Index], ROW() - ROW(Items[#Headers])), "")</f>
        <v/>
      </c>
      <c r="R23" t="s">
        <v>121</v>
      </c>
      <c r="S23" t="s">
        <v>1</v>
      </c>
      <c r="T23">
        <v>10</v>
      </c>
      <c r="U23" s="1" t="str">
        <f>IFERROR(IF(INDEX(Items[Selected Count], MATCH(Recipes[[#This Row],[Name]], Items[Name], 0)) &gt; 0, ROW() - ROW(Recipes[#Headers]), ""), "")</f>
        <v/>
      </c>
      <c r="V23" s="1" t="str">
        <f>IFERROR(SMALL(Recipes[Selected], ROW() - ROW(Recipes[#Headers])), "")</f>
        <v/>
      </c>
      <c r="W23" s="1" t="str">
        <f>IFERROR(INDEX(Recipes[Name], Recipes[[#This Row],[Selected Sorted]]), "")</f>
        <v/>
      </c>
      <c r="X23" s="1" t="str">
        <f>IFERROR(INDEX(Recipes[Component], Recipes[[#This Row],[Selected Sorted]]), "")</f>
        <v/>
      </c>
      <c r="Y23" s="1" t="str">
        <f>IFERROR(INDEX(Recipes[Quantity], Recipes[[#This Row],[Selected Sorted]]), "")</f>
        <v/>
      </c>
      <c r="AA23" t="s">
        <v>114</v>
      </c>
      <c r="AB23" t="s">
        <v>6</v>
      </c>
      <c r="AC23">
        <v>5</v>
      </c>
      <c r="AD23" s="1" t="str">
        <f>IFERROR(IF(INDEX(Items[Selected Count], MATCH(Recipes2[[#This Row],[Name]], Items[Name], 0)) &gt; 0, ROW() - ROW(Recipes2[#Headers]), ""), "")</f>
        <v/>
      </c>
      <c r="AE23" s="1" t="str">
        <f>IFERROR(SMALL(Recipes2[Selected], ROW() - ROW(Recipes2[#Headers])), "")</f>
        <v/>
      </c>
      <c r="AF23" s="1" t="str">
        <f>IFERROR(INDEX(Recipes2[Name], Recipes2[[#This Row],[Selected Sorted]]), "")</f>
        <v/>
      </c>
      <c r="AG23" s="1" t="str">
        <f>IFERROR(INDEX(Recipes2[Component], Recipes2[[#This Row],[Selected Sorted]]), "")</f>
        <v/>
      </c>
      <c r="AH23" s="1" t="str">
        <f>IFERROR(INDEX(Recipes2[Quantity], Recipes2[[#This Row],[Selected Sorted]]), "")</f>
        <v/>
      </c>
    </row>
    <row r="24" spans="1:34" x14ac:dyDescent="0.25">
      <c r="A24" t="s">
        <v>122</v>
      </c>
      <c r="B24">
        <v>8</v>
      </c>
      <c r="C24" s="1">
        <f>MAX(Items[[#This Row],[Base Cycle Time]] / Items[[#This Row],[Speed]], MinInsertionTime) / Items[[#This Row],[Quantity Per Cycle]] / Items[[#This Row],[Bonus]]</f>
        <v>6.4</v>
      </c>
      <c r="D24" s="39">
        <v>1</v>
      </c>
      <c r="E24" t="s">
        <v>59</v>
      </c>
      <c r="F24" s="38">
        <f>INDEX(CraftingTypes[Speed], MATCH(Items[[#This Row],[Producer Type]], CraftingTypes[Producer Type], 0))</f>
        <v>1.25</v>
      </c>
      <c r="G24" s="38">
        <f>INDEX(CraftingTypes[Bonus], MATCH(Items[[#This Row],[Producer Type]], CraftingTypes[Producer Type], 0)) + 1</f>
        <v>1</v>
      </c>
      <c r="H24" s="38">
        <f>1 / Items[[#This Row],[Cycle Time for One]]</f>
        <v>0.15625</v>
      </c>
      <c r="I24" s="36" t="b">
        <f>IFERROR(OR(Items[[#This Row],[Name]] = SelectedName, INDEX(CraftingTypes[Include], MATCH(Items[[#This Row],[Producer Type]], CraftingTypes[Producer Type], 0))), FALSE)</f>
        <v>1</v>
      </c>
      <c r="J24" s="38">
        <f>IF(Items[[#This Row],[Name]] = SelectedName, 1, IF(NOT(Items[[#This Row],[Include]]), 0, SUMIFS(RecipeTotals.Quantity, RecipeTotals.Name, SelectedName, RecipeTotals.Component, Items[[#This Row],[Name]])))</f>
        <v>0</v>
      </c>
      <c r="K24" s="38">
        <f>IFERROR(Items[[#This Row],[Selected Count]] / CycleTime.Actual, "")</f>
        <v>0</v>
      </c>
      <c r="L24" s="38">
        <f>IFERROR(Items[[#This Row],[Selected Per Second]] / Items[[#This Row],[Per Second]], "")</f>
        <v>0</v>
      </c>
      <c r="M24" s="38">
        <f>IFERROR(Items[[#This Row],[Selected Per Second]] / Items[[#This Row],[Per Second]], "")</f>
        <v>0</v>
      </c>
      <c r="N24" s="38">
        <f>IFERROR(CEILING(Items[[#This Row],[Fractional Producers for Selected Count]], 1), 0)</f>
        <v>0</v>
      </c>
      <c r="O24" s="38" t="str">
        <f>IF(AND(Items[[#This Row],[Producers For Selected Count]] &gt; 0, Items[[#This Row],[Include]]), ROW() - ROW(Items[#Headers]), "")</f>
        <v/>
      </c>
      <c r="P24" s="38" t="str">
        <f>IFERROR(SMALL(Items[Include Row Index], ROW() - ROW(Items[#Headers])), "")</f>
        <v/>
      </c>
      <c r="R24" t="s">
        <v>121</v>
      </c>
      <c r="S24" t="s">
        <v>5</v>
      </c>
      <c r="T24">
        <v>20</v>
      </c>
      <c r="U24" s="1" t="str">
        <f>IFERROR(IF(INDEX(Items[Selected Count], MATCH(Recipes[[#This Row],[Name]], Items[Name], 0)) &gt; 0, ROW() - ROW(Recipes[#Headers]), ""), "")</f>
        <v/>
      </c>
      <c r="V24" s="1" t="str">
        <f>IFERROR(SMALL(Recipes[Selected], ROW() - ROW(Recipes[#Headers])), "")</f>
        <v/>
      </c>
      <c r="W24" s="1" t="str">
        <f>IFERROR(INDEX(Recipes[Name], Recipes[[#This Row],[Selected Sorted]]), "")</f>
        <v/>
      </c>
      <c r="X24" s="1" t="str">
        <f>IFERROR(INDEX(Recipes[Component], Recipes[[#This Row],[Selected Sorted]]), "")</f>
        <v/>
      </c>
      <c r="Y24" s="1" t="str">
        <f>IFERROR(INDEX(Recipes[Quantity], Recipes[[#This Row],[Selected Sorted]]), "")</f>
        <v/>
      </c>
      <c r="AA24" t="s">
        <v>115</v>
      </c>
      <c r="AB24" t="s">
        <v>6</v>
      </c>
      <c r="AC24">
        <v>5</v>
      </c>
      <c r="AD24" s="1" t="str">
        <f>IFERROR(IF(INDEX(Items[Selected Count], MATCH(Recipes2[[#This Row],[Name]], Items[Name], 0)) &gt; 0, ROW() - ROW(Recipes2[#Headers]), ""), "")</f>
        <v/>
      </c>
      <c r="AE24" s="1" t="str">
        <f>IFERROR(SMALL(Recipes2[Selected], ROW() - ROW(Recipes2[#Headers])), "")</f>
        <v/>
      </c>
      <c r="AF24" s="1" t="str">
        <f>IFERROR(INDEX(Recipes2[Name], Recipes2[[#This Row],[Selected Sorted]]), "")</f>
        <v/>
      </c>
      <c r="AG24" s="1" t="str">
        <f>IFERROR(INDEX(Recipes2[Component], Recipes2[[#This Row],[Selected Sorted]]), "")</f>
        <v/>
      </c>
      <c r="AH24" s="1" t="str">
        <f>IFERROR(INDEX(Recipes2[Quantity], Recipes2[[#This Row],[Selected Sorted]]), "")</f>
        <v/>
      </c>
    </row>
    <row r="25" spans="1:34" x14ac:dyDescent="0.25">
      <c r="A25" t="s">
        <v>124</v>
      </c>
      <c r="B25">
        <v>15</v>
      </c>
      <c r="C25" s="1">
        <f>MAX(Items[[#This Row],[Base Cycle Time]] / Items[[#This Row],[Speed]], MinInsertionTime) / Items[[#This Row],[Quantity Per Cycle]] / Items[[#This Row],[Bonus]]</f>
        <v>12</v>
      </c>
      <c r="D25" s="39">
        <v>1</v>
      </c>
      <c r="E25" t="s">
        <v>59</v>
      </c>
      <c r="F25" s="38">
        <f>INDEX(CraftingTypes[Speed], MATCH(Items[[#This Row],[Producer Type]], CraftingTypes[Producer Type], 0))</f>
        <v>1.25</v>
      </c>
      <c r="G25" s="38">
        <f>INDEX(CraftingTypes[Bonus], MATCH(Items[[#This Row],[Producer Type]], CraftingTypes[Producer Type], 0)) + 1</f>
        <v>1</v>
      </c>
      <c r="H25" s="38">
        <f>1 / Items[[#This Row],[Cycle Time for One]]</f>
        <v>8.3333333333333329E-2</v>
      </c>
      <c r="I25" s="36" t="b">
        <f>IFERROR(OR(Items[[#This Row],[Name]] = SelectedName, INDEX(CraftingTypes[Include], MATCH(Items[[#This Row],[Producer Type]], CraftingTypes[Producer Type], 0))), FALSE)</f>
        <v>1</v>
      </c>
      <c r="J25" s="38">
        <f>IF(Items[[#This Row],[Name]] = SelectedName, 1, IF(NOT(Items[[#This Row],[Include]]), 0, SUMIFS(RecipeTotals.Quantity, RecipeTotals.Name, SelectedName, RecipeTotals.Component, Items[[#This Row],[Name]])))</f>
        <v>0</v>
      </c>
      <c r="K25" s="38">
        <f>IFERROR(Items[[#This Row],[Selected Count]] / CycleTime.Actual, "")</f>
        <v>0</v>
      </c>
      <c r="L25" s="38">
        <f>IFERROR(Items[[#This Row],[Selected Per Second]] / Items[[#This Row],[Per Second]], "")</f>
        <v>0</v>
      </c>
      <c r="M25" s="38">
        <f>IFERROR(Items[[#This Row],[Selected Per Second]] / Items[[#This Row],[Per Second]], "")</f>
        <v>0</v>
      </c>
      <c r="N25" s="38">
        <f>IFERROR(CEILING(Items[[#This Row],[Fractional Producers for Selected Count]], 1), 0)</f>
        <v>0</v>
      </c>
      <c r="O25" s="38" t="str">
        <f>IF(AND(Items[[#This Row],[Producers For Selected Count]] &gt; 0, Items[[#This Row],[Include]]), ROW() - ROW(Items[#Headers]), "")</f>
        <v/>
      </c>
      <c r="P25" s="38" t="str">
        <f>IFERROR(SMALL(Items[Include Row Index], ROW() - ROW(Items[#Headers])), "")</f>
        <v/>
      </c>
      <c r="R25" t="s">
        <v>121</v>
      </c>
      <c r="S25" t="s">
        <v>35</v>
      </c>
      <c r="T25">
        <v>10</v>
      </c>
      <c r="U25" s="1" t="str">
        <f>IFERROR(IF(INDEX(Items[Selected Count], MATCH(Recipes[[#This Row],[Name]], Items[Name], 0)) &gt; 0, ROW() - ROW(Recipes[#Headers]), ""), "")</f>
        <v/>
      </c>
      <c r="V25" s="1" t="str">
        <f>IFERROR(SMALL(Recipes[Selected], ROW() - ROW(Recipes[#Headers])), "")</f>
        <v/>
      </c>
      <c r="W25" s="1" t="str">
        <f>IFERROR(INDEX(Recipes[Name], Recipes[[#This Row],[Selected Sorted]]), "")</f>
        <v/>
      </c>
      <c r="X25" s="1" t="str">
        <f>IFERROR(INDEX(Recipes[Component], Recipes[[#This Row],[Selected Sorted]]), "")</f>
        <v/>
      </c>
      <c r="Y25" s="1" t="str">
        <f>IFERROR(INDEX(Recipes[Quantity], Recipes[[#This Row],[Selected Sorted]]), "")</f>
        <v/>
      </c>
      <c r="AA25" t="s">
        <v>46</v>
      </c>
      <c r="AB25" t="s">
        <v>6</v>
      </c>
      <c r="AC25">
        <v>1</v>
      </c>
      <c r="AD25" t="str">
        <f>IFERROR(IF(INDEX(Items[Selected Count], MATCH(Recipes2[[#This Row],[Name]], Items[Name], 0)) &gt; 0, ROW() - ROW(Recipes2[#Headers]), ""), "")</f>
        <v/>
      </c>
      <c r="AE25" t="str">
        <f>IFERROR(SMALL(Recipes2[Selected], ROW() - ROW(Recipes2[#Headers])), "")</f>
        <v/>
      </c>
      <c r="AF25" t="str">
        <f>IFERROR(INDEX(Recipes2[Name], Recipes2[[#This Row],[Selected Sorted]]), "")</f>
        <v/>
      </c>
      <c r="AG25" t="str">
        <f>IFERROR(INDEX(Recipes2[Component], Recipes2[[#This Row],[Selected Sorted]]), "")</f>
        <v/>
      </c>
      <c r="AH25" s="1" t="str">
        <f>IFERROR(INDEX(Recipes2[Quantity], Recipes2[[#This Row],[Selected Sorted]]), "")</f>
        <v/>
      </c>
    </row>
    <row r="26" spans="1:34" x14ac:dyDescent="0.25">
      <c r="A26" t="s">
        <v>123</v>
      </c>
      <c r="B26">
        <v>15</v>
      </c>
      <c r="C26" s="1">
        <f>MAX(Items[[#This Row],[Base Cycle Time]] / Items[[#This Row],[Speed]], MinInsertionTime) / Items[[#This Row],[Quantity Per Cycle]] / Items[[#This Row],[Bonus]]</f>
        <v>12</v>
      </c>
      <c r="D26" s="39">
        <v>1</v>
      </c>
      <c r="E26" t="s">
        <v>59</v>
      </c>
      <c r="F26" s="38">
        <f>INDEX(CraftingTypes[Speed], MATCH(Items[[#This Row],[Producer Type]], CraftingTypes[Producer Type], 0))</f>
        <v>1.25</v>
      </c>
      <c r="G26" s="38">
        <f>INDEX(CraftingTypes[Bonus], MATCH(Items[[#This Row],[Producer Type]], CraftingTypes[Producer Type], 0)) + 1</f>
        <v>1</v>
      </c>
      <c r="H26" s="38">
        <f>1 / Items[[#This Row],[Cycle Time for One]]</f>
        <v>8.3333333333333329E-2</v>
      </c>
      <c r="I26" s="36" t="b">
        <f>IFERROR(OR(Items[[#This Row],[Name]] = SelectedName, INDEX(CraftingTypes[Include], MATCH(Items[[#This Row],[Producer Type]], CraftingTypes[Producer Type], 0))), FALSE)</f>
        <v>1</v>
      </c>
      <c r="J26" s="38">
        <f>IF(Items[[#This Row],[Name]] = SelectedName, 1, IF(NOT(Items[[#This Row],[Include]]), 0, SUMIFS(RecipeTotals.Quantity, RecipeTotals.Name, SelectedName, RecipeTotals.Component, Items[[#This Row],[Name]])))</f>
        <v>0</v>
      </c>
      <c r="K26" s="38">
        <f>IFERROR(Items[[#This Row],[Selected Count]] / CycleTime.Actual, "")</f>
        <v>0</v>
      </c>
      <c r="L26" s="38">
        <f>IFERROR(Items[[#This Row],[Selected Per Second]] / Items[[#This Row],[Per Second]], "")</f>
        <v>0</v>
      </c>
      <c r="M26" s="38">
        <f>IFERROR(Items[[#This Row],[Selected Per Second]] / Items[[#This Row],[Per Second]], "")</f>
        <v>0</v>
      </c>
      <c r="N26" s="38">
        <f>IFERROR(CEILING(Items[[#This Row],[Fractional Producers for Selected Count]], 1), 0)</f>
        <v>0</v>
      </c>
      <c r="O26" s="38" t="str">
        <f>IF(AND(Items[[#This Row],[Producers For Selected Count]] &gt; 0, Items[[#This Row],[Include]]), ROW() - ROW(Items[#Headers]), "")</f>
        <v/>
      </c>
      <c r="P26" s="38" t="str">
        <f>IFERROR(SMALL(Items[Include Row Index], ROW() - ROW(Items[#Headers])), "")</f>
        <v/>
      </c>
      <c r="R26" t="s">
        <v>40</v>
      </c>
      <c r="S26" t="s">
        <v>4</v>
      </c>
      <c r="T26">
        <v>5</v>
      </c>
      <c r="U26" t="str">
        <f>IFERROR(IF(INDEX(Items[Selected Count], MATCH(Recipes[[#This Row],[Name]], Items[Name], 0)) &gt; 0, ROW() - ROW(Recipes[#Headers]), ""), "")</f>
        <v/>
      </c>
      <c r="V26" t="str">
        <f>IFERROR(SMALL(Recipes[Selected], ROW() - ROW(Recipes[#Headers])), "")</f>
        <v/>
      </c>
      <c r="W26" t="str">
        <f>IFERROR(INDEX(Recipes[Name], Recipes[[#This Row],[Selected Sorted]]), "")</f>
        <v/>
      </c>
      <c r="X26" t="str">
        <f>IFERROR(INDEX(Recipes[Component], Recipes[[#This Row],[Selected Sorted]]), "")</f>
        <v/>
      </c>
      <c r="Y26" s="1" t="str">
        <f>IFERROR(INDEX(Recipes[Quantity], Recipes[[#This Row],[Selected Sorted]]), "")</f>
        <v/>
      </c>
      <c r="AA26" t="s">
        <v>166</v>
      </c>
      <c r="AB26" t="s">
        <v>6</v>
      </c>
      <c r="AC26">
        <v>1</v>
      </c>
      <c r="AD26" s="1" t="str">
        <f>IFERROR(IF(INDEX(Items[Selected Count], MATCH(Recipes2[[#This Row],[Name]], Items[Name], 0)) &gt; 0, ROW() - ROW(Recipes2[#Headers]), ""), "")</f>
        <v/>
      </c>
      <c r="AE26" s="1" t="str">
        <f>IFERROR(SMALL(Recipes2[Selected], ROW() - ROW(Recipes2[#Headers])), "")</f>
        <v/>
      </c>
      <c r="AF26" s="1" t="str">
        <f>IFERROR(INDEX(Recipes2[Name], Recipes2[[#This Row],[Selected Sorted]]), "")</f>
        <v/>
      </c>
      <c r="AG26" s="1" t="str">
        <f>IFERROR(INDEX(Recipes2[Component], Recipes2[[#This Row],[Selected Sorted]]), "")</f>
        <v/>
      </c>
      <c r="AH26" s="1" t="str">
        <f>IFERROR(INDEX(Recipes2[Quantity], Recipes2[[#This Row],[Selected Sorted]]), "")</f>
        <v/>
      </c>
    </row>
    <row r="27" spans="1:34" x14ac:dyDescent="0.25">
      <c r="A27" t="s">
        <v>116</v>
      </c>
      <c r="B27">
        <v>15</v>
      </c>
      <c r="C27" s="1">
        <f>MAX(Items[[#This Row],[Base Cycle Time]] / Items[[#This Row],[Speed]], MinInsertionTime) / Items[[#This Row],[Quantity Per Cycle]] / Items[[#This Row],[Bonus]]</f>
        <v>12</v>
      </c>
      <c r="D27" s="39">
        <v>1</v>
      </c>
      <c r="E27" t="s">
        <v>59</v>
      </c>
      <c r="F27" s="38">
        <f>INDEX(CraftingTypes[Speed], MATCH(Items[[#This Row],[Producer Type]], CraftingTypes[Producer Type], 0))</f>
        <v>1.25</v>
      </c>
      <c r="G27" s="38">
        <f>INDEX(CraftingTypes[Bonus], MATCH(Items[[#This Row],[Producer Type]], CraftingTypes[Producer Type], 0)) + 1</f>
        <v>1</v>
      </c>
      <c r="H27" s="38">
        <f>1 / Items[[#This Row],[Cycle Time for One]]</f>
        <v>8.3333333333333329E-2</v>
      </c>
      <c r="I27" s="36" t="b">
        <f>IFERROR(OR(Items[[#This Row],[Name]] = SelectedName, INDEX(CraftingTypes[Include], MATCH(Items[[#This Row],[Producer Type]], CraftingTypes[Producer Type], 0))), FALSE)</f>
        <v>1</v>
      </c>
      <c r="J27" s="38">
        <f>IF(Items[[#This Row],[Name]] = SelectedName, 1, IF(NOT(Items[[#This Row],[Include]]), 0, SUMIFS(RecipeTotals.Quantity, RecipeTotals.Name, SelectedName, RecipeTotals.Component, Items[[#This Row],[Name]])))</f>
        <v>0</v>
      </c>
      <c r="K27" s="38">
        <f>IFERROR(Items[[#This Row],[Selected Count]] / CycleTime.Actual, "")</f>
        <v>0</v>
      </c>
      <c r="L27" s="38">
        <f>IFERROR(Items[[#This Row],[Selected Per Second]] / Items[[#This Row],[Per Second]], "")</f>
        <v>0</v>
      </c>
      <c r="M27" s="38">
        <f>IFERROR(Items[[#This Row],[Selected Per Second]] / Items[[#This Row],[Per Second]], "")</f>
        <v>0</v>
      </c>
      <c r="N27" s="38">
        <f>IFERROR(CEILING(Items[[#This Row],[Fractional Producers for Selected Count]], 1), 0)</f>
        <v>0</v>
      </c>
      <c r="O27" s="38" t="str">
        <f>IF(AND(Items[[#This Row],[Producers For Selected Count]] &gt; 0, Items[[#This Row],[Include]]), ROW() - ROW(Items[#Headers]), "")</f>
        <v/>
      </c>
      <c r="P27" s="38" t="str">
        <f>IFERROR(SMALL(Items[Include Row Index], ROW() - ROW(Items[#Headers])), "")</f>
        <v/>
      </c>
      <c r="R27" t="s">
        <v>40</v>
      </c>
      <c r="S27" t="s">
        <v>35</v>
      </c>
      <c r="T27">
        <v>5</v>
      </c>
      <c r="U27" t="str">
        <f>IFERROR(IF(INDEX(Items[Selected Count], MATCH(Recipes[[#This Row],[Name]], Items[Name], 0)) &gt; 0, ROW() - ROW(Recipes[#Headers]), ""), "")</f>
        <v/>
      </c>
      <c r="V27" t="str">
        <f>IFERROR(SMALL(Recipes[Selected], ROW() - ROW(Recipes[#Headers])), "")</f>
        <v/>
      </c>
      <c r="W27" t="str">
        <f>IFERROR(INDEX(Recipes[Name], Recipes[[#This Row],[Selected Sorted]]), "")</f>
        <v/>
      </c>
      <c r="X27" t="str">
        <f>IFERROR(INDEX(Recipes[Component], Recipes[[#This Row],[Selected Sorted]]), "")</f>
        <v/>
      </c>
      <c r="Y27" s="1" t="str">
        <f>IFERROR(INDEX(Recipes[Quantity], Recipes[[#This Row],[Selected Sorted]]), "")</f>
        <v/>
      </c>
      <c r="AA27" t="s">
        <v>41</v>
      </c>
      <c r="AB27" t="s">
        <v>6</v>
      </c>
      <c r="AC27">
        <v>5</v>
      </c>
      <c r="AD27" t="str">
        <f>IFERROR(IF(INDEX(Items[Selected Count], MATCH(Recipes2[[#This Row],[Name]], Items[Name], 0)) &gt; 0, ROW() - ROW(Recipes2[#Headers]), ""), "")</f>
        <v/>
      </c>
      <c r="AE27" t="str">
        <f>IFERROR(SMALL(Recipes2[Selected], ROW() - ROW(Recipes2[#Headers])), "")</f>
        <v/>
      </c>
      <c r="AF27" t="str">
        <f>IFERROR(INDEX(Recipes2[Name], Recipes2[[#This Row],[Selected Sorted]]), "")</f>
        <v/>
      </c>
      <c r="AG27" t="str">
        <f>IFERROR(INDEX(Recipes2[Component], Recipes2[[#This Row],[Selected Sorted]]), "")</f>
        <v/>
      </c>
      <c r="AH27" s="1" t="str">
        <f>IFERROR(INDEX(Recipes2[Quantity], Recipes2[[#This Row],[Selected Sorted]]), "")</f>
        <v/>
      </c>
    </row>
    <row r="28" spans="1:34" x14ac:dyDescent="0.25">
      <c r="A28" t="s">
        <v>112</v>
      </c>
      <c r="B28">
        <v>30</v>
      </c>
      <c r="C28" s="1">
        <f>MAX(Items[[#This Row],[Base Cycle Time]] / Items[[#This Row],[Speed]], MinInsertionTime) / Items[[#This Row],[Quantity Per Cycle]] / Items[[#This Row],[Bonus]]</f>
        <v>24</v>
      </c>
      <c r="D28" s="39">
        <v>1</v>
      </c>
      <c r="E28" t="s">
        <v>59</v>
      </c>
      <c r="F28" s="38">
        <f>INDEX(CraftingTypes[Speed], MATCH(Items[[#This Row],[Producer Type]], CraftingTypes[Producer Type], 0))</f>
        <v>1.25</v>
      </c>
      <c r="G28" s="38">
        <f>INDEX(CraftingTypes[Bonus], MATCH(Items[[#This Row],[Producer Type]], CraftingTypes[Producer Type], 0)) + 1</f>
        <v>1</v>
      </c>
      <c r="H28" s="38">
        <f>1 / Items[[#This Row],[Cycle Time for One]]</f>
        <v>4.1666666666666664E-2</v>
      </c>
      <c r="I28" s="36" t="b">
        <f>IFERROR(OR(Items[[#This Row],[Name]] = SelectedName, INDEX(CraftingTypes[Include], MATCH(Items[[#This Row],[Producer Type]], CraftingTypes[Producer Type], 0))), FALSE)</f>
        <v>1</v>
      </c>
      <c r="J28" s="38">
        <f>IF(Items[[#This Row],[Name]] = SelectedName, 1, IF(NOT(Items[[#This Row],[Include]]), 0, SUMIFS(RecipeTotals.Quantity, RecipeTotals.Name, SelectedName, RecipeTotals.Component, Items[[#This Row],[Name]])))</f>
        <v>0</v>
      </c>
      <c r="K28" s="38">
        <f>IFERROR(Items[[#This Row],[Selected Count]] / CycleTime.Actual, "")</f>
        <v>0</v>
      </c>
      <c r="L28" s="38">
        <f>IFERROR(Items[[#This Row],[Selected Per Second]] / Items[[#This Row],[Per Second]], "")</f>
        <v>0</v>
      </c>
      <c r="M28" s="38">
        <f>IFERROR(Items[[#This Row],[Selected Per Second]] / Items[[#This Row],[Per Second]], "")</f>
        <v>0</v>
      </c>
      <c r="N28" s="38">
        <f>IFERROR(CEILING(Items[[#This Row],[Fractional Producers for Selected Count]], 1), 0)</f>
        <v>0</v>
      </c>
      <c r="O28" s="38" t="str">
        <f>IF(AND(Items[[#This Row],[Producers For Selected Count]] &gt; 0, Items[[#This Row],[Include]]), ROW() - ROW(Items[#Headers]), "")</f>
        <v/>
      </c>
      <c r="P28" s="38" t="str">
        <f>IFERROR(SMALL(Items[Include Row Index], ROW() - ROW(Items[#Headers])), "")</f>
        <v/>
      </c>
      <c r="R28" t="s">
        <v>143</v>
      </c>
      <c r="S28" t="s">
        <v>23</v>
      </c>
      <c r="T28">
        <v>4</v>
      </c>
      <c r="U28" s="1" t="str">
        <f>IFERROR(IF(INDEX(Items[Selected Count], MATCH(Recipes[[#This Row],[Name]], Items[Name], 0)) &gt; 0, ROW() - ROW(Recipes[#Headers]), ""), "")</f>
        <v/>
      </c>
      <c r="V28" s="1" t="str">
        <f>IFERROR(SMALL(Recipes[Selected], ROW() - ROW(Recipes[#Headers])), "")</f>
        <v/>
      </c>
      <c r="W28" s="1" t="str">
        <f>IFERROR(INDEX(Recipes[Name], Recipes[[#This Row],[Selected Sorted]]), "")</f>
        <v/>
      </c>
      <c r="X28" s="1" t="str">
        <f>IFERROR(INDEX(Recipes[Component], Recipes[[#This Row],[Selected Sorted]]), "")</f>
        <v/>
      </c>
      <c r="Y28" s="1" t="str">
        <f>IFERROR(INDEX(Recipes[Quantity], Recipes[[#This Row],[Selected Sorted]]), "")</f>
        <v/>
      </c>
      <c r="AA28" t="s">
        <v>162</v>
      </c>
      <c r="AB28" t="s">
        <v>6</v>
      </c>
      <c r="AC28">
        <v>10</v>
      </c>
      <c r="AD28" s="1" t="str">
        <f>IFERROR(IF(INDEX(Items[Selected Count], MATCH(Recipes2[[#This Row],[Name]], Items[Name], 0)) &gt; 0, ROW() - ROW(Recipes2[#Headers]), ""), "")</f>
        <v/>
      </c>
      <c r="AE28" s="1" t="str">
        <f>IFERROR(SMALL(Recipes2[Selected], ROW() - ROW(Recipes2[#Headers])), "")</f>
        <v/>
      </c>
      <c r="AF28" s="1" t="str">
        <f>IFERROR(INDEX(Recipes2[Name], Recipes2[[#This Row],[Selected Sorted]]), "")</f>
        <v/>
      </c>
      <c r="AG28" s="1" t="str">
        <f>IFERROR(INDEX(Recipes2[Component], Recipes2[[#This Row],[Selected Sorted]]), "")</f>
        <v/>
      </c>
      <c r="AH28" s="1" t="str">
        <f>IFERROR(INDEX(Recipes2[Quantity], Recipes2[[#This Row],[Selected Sorted]]), "")</f>
        <v/>
      </c>
    </row>
    <row r="29" spans="1:34" x14ac:dyDescent="0.25">
      <c r="A29" t="s">
        <v>113</v>
      </c>
      <c r="B29">
        <v>60</v>
      </c>
      <c r="C29" s="1">
        <f>MAX(Items[[#This Row],[Base Cycle Time]] / Items[[#This Row],[Speed]], MinInsertionTime) / Items[[#This Row],[Quantity Per Cycle]] / Items[[#This Row],[Bonus]]</f>
        <v>48</v>
      </c>
      <c r="D29" s="39">
        <v>1</v>
      </c>
      <c r="E29" t="s">
        <v>59</v>
      </c>
      <c r="F29" s="38">
        <f>INDEX(CraftingTypes[Speed], MATCH(Items[[#This Row],[Producer Type]], CraftingTypes[Producer Type], 0))</f>
        <v>1.25</v>
      </c>
      <c r="G29" s="38">
        <f>INDEX(CraftingTypes[Bonus], MATCH(Items[[#This Row],[Producer Type]], CraftingTypes[Producer Type], 0)) + 1</f>
        <v>1</v>
      </c>
      <c r="H29" s="38">
        <f>1 / Items[[#This Row],[Cycle Time for One]]</f>
        <v>2.0833333333333332E-2</v>
      </c>
      <c r="I29" s="36" t="b">
        <f>IFERROR(OR(Items[[#This Row],[Name]] = SelectedName, INDEX(CraftingTypes[Include], MATCH(Items[[#This Row],[Producer Type]], CraftingTypes[Producer Type], 0))), FALSE)</f>
        <v>1</v>
      </c>
      <c r="J29" s="38">
        <f>IF(Items[[#This Row],[Name]] = SelectedName, 1, IF(NOT(Items[[#This Row],[Include]]), 0, SUMIFS(RecipeTotals.Quantity, RecipeTotals.Name, SelectedName, RecipeTotals.Component, Items[[#This Row],[Name]])))</f>
        <v>0</v>
      </c>
      <c r="K29" s="38">
        <f>IFERROR(Items[[#This Row],[Selected Count]] / CycleTime.Actual, "")</f>
        <v>0</v>
      </c>
      <c r="L29" s="38">
        <f>IFERROR(Items[[#This Row],[Selected Per Second]] / Items[[#This Row],[Per Second]], "")</f>
        <v>0</v>
      </c>
      <c r="M29" s="38">
        <f>IFERROR(Items[[#This Row],[Selected Per Second]] / Items[[#This Row],[Per Second]], "")</f>
        <v>0</v>
      </c>
      <c r="N29" s="38">
        <f>IFERROR(CEILING(Items[[#This Row],[Fractional Producers for Selected Count]], 1), 0)</f>
        <v>0</v>
      </c>
      <c r="O29" s="38" t="str">
        <f>IF(AND(Items[[#This Row],[Producers For Selected Count]] &gt; 0, Items[[#This Row],[Include]]), ROW() - ROW(Items[#Headers]), "")</f>
        <v/>
      </c>
      <c r="P29" s="38" t="str">
        <f>IFERROR(SMALL(Items[Include Row Index], ROW() - ROW(Items[#Headers])), "")</f>
        <v/>
      </c>
      <c r="R29" t="s">
        <v>143</v>
      </c>
      <c r="S29" t="s">
        <v>98</v>
      </c>
      <c r="T29">
        <v>1</v>
      </c>
      <c r="U29" s="1" t="str">
        <f>IFERROR(IF(INDEX(Items[Selected Count], MATCH(Recipes[[#This Row],[Name]], Items[Name], 0)) &gt; 0, ROW() - ROW(Recipes[#Headers]), ""), "")</f>
        <v/>
      </c>
      <c r="V29" s="1" t="str">
        <f>IFERROR(SMALL(Recipes[Selected], ROW() - ROW(Recipes[#Headers])), "")</f>
        <v/>
      </c>
      <c r="W29" s="1" t="str">
        <f>IFERROR(INDEX(Recipes[Name], Recipes[[#This Row],[Selected Sorted]]), "")</f>
        <v/>
      </c>
      <c r="X29" s="1" t="str">
        <f>IFERROR(INDEX(Recipes[Component], Recipes[[#This Row],[Selected Sorted]]), "")</f>
        <v/>
      </c>
      <c r="Y29" s="1" t="str">
        <f>IFERROR(INDEX(Recipes[Quantity], Recipes[[#This Row],[Selected Sorted]]), "")</f>
        <v/>
      </c>
      <c r="AA29" t="s">
        <v>9</v>
      </c>
      <c r="AB29" t="s">
        <v>7</v>
      </c>
      <c r="AC29">
        <v>1</v>
      </c>
      <c r="AD29" t="str">
        <f>IFERROR(IF(INDEX(Items[Selected Count], MATCH(Recipes2[[#This Row],[Name]], Items[Name], 0)) &gt; 0, ROW() - ROW(Recipes2[#Headers]), ""), "")</f>
        <v/>
      </c>
      <c r="AE29" t="str">
        <f>IFERROR(SMALL(Recipes2[Selected], ROW() - ROW(Recipes2[#Headers])), "")</f>
        <v/>
      </c>
      <c r="AF29" t="str">
        <f>IFERROR(INDEX(Recipes2[Name], Recipes2[[#This Row],[Selected Sorted]]), "")</f>
        <v/>
      </c>
      <c r="AG29" t="str">
        <f>IFERROR(INDEX(Recipes2[Component], Recipes2[[#This Row],[Selected Sorted]]), "")</f>
        <v/>
      </c>
      <c r="AH29" s="1" t="str">
        <f>IFERROR(INDEX(Recipes2[Quantity], Recipes2[[#This Row],[Selected Sorted]]), "")</f>
        <v/>
      </c>
    </row>
    <row r="30" spans="1:34" x14ac:dyDescent="0.25">
      <c r="A30" t="s">
        <v>54</v>
      </c>
      <c r="B30">
        <v>10</v>
      </c>
      <c r="C30">
        <f>MAX(Items[[#This Row],[Base Cycle Time]] / Items[[#This Row],[Speed]], MinInsertionTime) / Items[[#This Row],[Quantity Per Cycle]] / Items[[#This Row],[Bonus]]</f>
        <v>8</v>
      </c>
      <c r="D30" s="39">
        <v>1</v>
      </c>
      <c r="E30" t="s">
        <v>59</v>
      </c>
      <c r="F30" s="39">
        <f>INDEX(CraftingTypes[Speed], MATCH(Items[[#This Row],[Producer Type]], CraftingTypes[Producer Type], 0))</f>
        <v>1.25</v>
      </c>
      <c r="G30" s="39">
        <f>INDEX(CraftingTypes[Bonus], MATCH(Items[[#This Row],[Producer Type]], CraftingTypes[Producer Type], 0)) + 1</f>
        <v>1</v>
      </c>
      <c r="H30" s="38">
        <f>1 / Items[[#This Row],[Cycle Time for One]]</f>
        <v>0.125</v>
      </c>
      <c r="I30" s="36" t="b">
        <f>IFERROR(OR(Items[[#This Row],[Name]] = SelectedName, INDEX(CraftingTypes[Include], MATCH(Items[[#This Row],[Producer Type]], CraftingTypes[Producer Type], 0))), FALSE)</f>
        <v>1</v>
      </c>
      <c r="J30" s="38">
        <f>IF(Items[[#This Row],[Name]] = SelectedName, 1, IF(NOT(Items[[#This Row],[Include]]), 0, SUMIFS(RecipeTotals.Quantity, RecipeTotals.Name, SelectedName, RecipeTotals.Component, Items[[#This Row],[Name]])))</f>
        <v>0</v>
      </c>
      <c r="K30" s="38">
        <f>IFERROR(Items[[#This Row],[Selected Count]] / CycleTime.Actual, "")</f>
        <v>0</v>
      </c>
      <c r="L30" s="38">
        <f>IFERROR(Items[[#This Row],[Selected Per Second]] / Items[[#This Row],[Per Second]], "")</f>
        <v>0</v>
      </c>
      <c r="M30" s="38">
        <f>IFERROR(Items[[#This Row],[Selected Per Second]] / Items[[#This Row],[Per Second]], "")</f>
        <v>0</v>
      </c>
      <c r="N30" s="38">
        <f>IFERROR(CEILING(Items[[#This Row],[Fractional Producers for Selected Count]], 1), 0)</f>
        <v>0</v>
      </c>
      <c r="O30" s="38" t="str">
        <f>IF(AND(Items[[#This Row],[Producers For Selected Count]] &gt; 0, Items[[#This Row],[Include]]), ROW() - ROW(Items[#Headers]), "")</f>
        <v/>
      </c>
      <c r="P30" s="38" t="str">
        <f>IFERROR(SMALL(Items[Include Row Index], ROW() - ROW(Items[#Headers])), "")</f>
        <v/>
      </c>
      <c r="R30" t="s">
        <v>101</v>
      </c>
      <c r="S30" t="s">
        <v>8</v>
      </c>
      <c r="T30">
        <v>3</v>
      </c>
      <c r="U30" s="1" t="str">
        <f>IFERROR(IF(INDEX(Items[Selected Count], MATCH(Recipes[[#This Row],[Name]], Items[Name], 0)) &gt; 0, ROW() - ROW(Recipes[#Headers]), ""), "")</f>
        <v/>
      </c>
      <c r="V30" s="1" t="str">
        <f>IFERROR(SMALL(Recipes[Selected], ROW() - ROW(Recipes[#Headers])), "")</f>
        <v/>
      </c>
      <c r="W30" s="1" t="str">
        <f>IFERROR(INDEX(Recipes[Name], Recipes[[#This Row],[Selected Sorted]]), "")</f>
        <v/>
      </c>
      <c r="X30" s="1" t="str">
        <f>IFERROR(INDEX(Recipes[Component], Recipes[[#This Row],[Selected Sorted]]), "")</f>
        <v/>
      </c>
      <c r="Y30" s="1" t="str">
        <f>IFERROR(INDEX(Recipes[Quantity], Recipes[[#This Row],[Selected Sorted]]), "")</f>
        <v/>
      </c>
      <c r="AA30" t="s">
        <v>78</v>
      </c>
      <c r="AB30" t="s">
        <v>7</v>
      </c>
      <c r="AC30">
        <v>1</v>
      </c>
      <c r="AD30" s="1" t="str">
        <f>IFERROR(IF(INDEX(Items[Selected Count], MATCH(Recipes2[[#This Row],[Name]], Items[Name], 0)) &gt; 0, ROW() - ROW(Recipes2[#Headers]), ""), "")</f>
        <v/>
      </c>
      <c r="AE30" s="1" t="str">
        <f>IFERROR(SMALL(Recipes2[Selected], ROW() - ROW(Recipes2[#Headers])), "")</f>
        <v/>
      </c>
      <c r="AF30" s="1" t="str">
        <f>IFERROR(INDEX(Recipes2[Name], Recipes2[[#This Row],[Selected Sorted]]), "")</f>
        <v/>
      </c>
      <c r="AG30" s="1" t="str">
        <f>IFERROR(INDEX(Recipes2[Component], Recipes2[[#This Row],[Selected Sorted]]), "")</f>
        <v/>
      </c>
      <c r="AH30" s="1" t="str">
        <f>IFERROR(INDEX(Recipes2[Quantity], Recipes2[[#This Row],[Selected Sorted]]), "")</f>
        <v/>
      </c>
    </row>
    <row r="31" spans="1:34" x14ac:dyDescent="0.25">
      <c r="A31" t="s">
        <v>80</v>
      </c>
      <c r="B31">
        <v>5</v>
      </c>
      <c r="C31">
        <f>MAX(Items[[#This Row],[Base Cycle Time]] / Items[[#This Row],[Speed]], MinInsertionTime) / Items[[#This Row],[Quantity Per Cycle]] / Items[[#This Row],[Bonus]]</f>
        <v>4</v>
      </c>
      <c r="D31" s="39">
        <v>1</v>
      </c>
      <c r="E31" t="s">
        <v>59</v>
      </c>
      <c r="F31" s="39">
        <f>INDEX(CraftingTypes[Speed], MATCH(Items[[#This Row],[Producer Type]], CraftingTypes[Producer Type], 0))</f>
        <v>1.25</v>
      </c>
      <c r="G31" s="39">
        <f>INDEX(CraftingTypes[Bonus], MATCH(Items[[#This Row],[Producer Type]], CraftingTypes[Producer Type], 0)) + 1</f>
        <v>1</v>
      </c>
      <c r="H31" s="38">
        <f>1 / Items[[#This Row],[Cycle Time for One]]</f>
        <v>0.25</v>
      </c>
      <c r="I31" s="36" t="b">
        <f>IFERROR(OR(Items[[#This Row],[Name]] = SelectedName, INDEX(CraftingTypes[Include], MATCH(Items[[#This Row],[Producer Type]], CraftingTypes[Producer Type], 0))), FALSE)</f>
        <v>1</v>
      </c>
      <c r="J31" s="38">
        <f>IF(Items[[#This Row],[Name]] = SelectedName, 1, IF(NOT(Items[[#This Row],[Include]]), 0, SUMIFS(RecipeTotals.Quantity, RecipeTotals.Name, SelectedName, RecipeTotals.Component, Items[[#This Row],[Name]])))</f>
        <v>0</v>
      </c>
      <c r="K31" s="38">
        <f>IFERROR(Items[[#This Row],[Selected Count]] / CycleTime.Actual, "")</f>
        <v>0</v>
      </c>
      <c r="L31" s="38">
        <f>IFERROR(Items[[#This Row],[Selected Per Second]] / Items[[#This Row],[Per Second]], "")</f>
        <v>0</v>
      </c>
      <c r="M31" s="38">
        <f>IFERROR(Items[[#This Row],[Selected Per Second]] / Items[[#This Row],[Per Second]], "")</f>
        <v>0</v>
      </c>
      <c r="N31" s="38">
        <f>IFERROR(CEILING(Items[[#This Row],[Fractional Producers for Selected Count]], 1), 0)</f>
        <v>0</v>
      </c>
      <c r="O31" s="38" t="str">
        <f>IF(AND(Items[[#This Row],[Producers For Selected Count]] &gt; 0, Items[[#This Row],[Include]]), ROW() - ROW(Items[#Headers]), "")</f>
        <v/>
      </c>
      <c r="P31" s="38" t="str">
        <f>IFERROR(SMALL(Items[Include Row Index], ROW() - ROW(Items[#Headers])), "")</f>
        <v/>
      </c>
      <c r="R31" t="s">
        <v>101</v>
      </c>
      <c r="S31" t="s">
        <v>2</v>
      </c>
      <c r="T31">
        <v>3</v>
      </c>
      <c r="U31" s="1" t="str">
        <f>IFERROR(IF(INDEX(Items[Selected Count], MATCH(Recipes[[#This Row],[Name]], Items[Name], 0)) &gt; 0, ROW() - ROW(Recipes[#Headers]), ""), "")</f>
        <v/>
      </c>
      <c r="V31" s="1" t="str">
        <f>IFERROR(SMALL(Recipes[Selected], ROW() - ROW(Recipes[#Headers])), "")</f>
        <v/>
      </c>
      <c r="W31" s="1" t="str">
        <f>IFERROR(INDEX(Recipes[Name], Recipes[[#This Row],[Selected Sorted]]), "")</f>
        <v/>
      </c>
      <c r="X31" s="1" t="str">
        <f>IFERROR(INDEX(Recipes[Component], Recipes[[#This Row],[Selected Sorted]]), "")</f>
        <v/>
      </c>
      <c r="Y31" s="1" t="str">
        <f>IFERROR(INDEX(Recipes[Quantity], Recipes[[#This Row],[Selected Sorted]]), "")</f>
        <v/>
      </c>
      <c r="AA31" t="s">
        <v>10</v>
      </c>
      <c r="AB31" t="s">
        <v>9</v>
      </c>
      <c r="AC31">
        <v>1</v>
      </c>
      <c r="AD31" t="str">
        <f>IFERROR(IF(INDEX(Items[Selected Count], MATCH(Recipes2[[#This Row],[Name]], Items[Name], 0)) &gt; 0, ROW() - ROW(Recipes2[#Headers]), ""), "")</f>
        <v/>
      </c>
      <c r="AE31" t="str">
        <f>IFERROR(SMALL(Recipes2[Selected], ROW() - ROW(Recipes2[#Headers])), "")</f>
        <v/>
      </c>
      <c r="AF31" t="str">
        <f>IFERROR(INDEX(Recipes2[Name], Recipes2[[#This Row],[Selected Sorted]]), "")</f>
        <v/>
      </c>
      <c r="AG31" t="str">
        <f>IFERROR(INDEX(Recipes2[Component], Recipes2[[#This Row],[Selected Sorted]]), "")</f>
        <v/>
      </c>
      <c r="AH31" s="1" t="str">
        <f>IFERROR(INDEX(Recipes2[Quantity], Recipes2[[#This Row],[Selected Sorted]]), "")</f>
        <v/>
      </c>
    </row>
    <row r="32" spans="1:34" x14ac:dyDescent="0.25">
      <c r="A32" t="s">
        <v>87</v>
      </c>
      <c r="B32">
        <v>2</v>
      </c>
      <c r="C32" s="1">
        <f>MAX(Items[[#This Row],[Base Cycle Time]] / Items[[#This Row],[Speed]], MinInsertionTime) / Items[[#This Row],[Quantity Per Cycle]] / Items[[#This Row],[Bonus]]</f>
        <v>1.6</v>
      </c>
      <c r="D32" s="39">
        <v>1</v>
      </c>
      <c r="E32" t="s">
        <v>59</v>
      </c>
      <c r="F32" s="38">
        <f>INDEX(CraftingTypes[Speed], MATCH(Items[[#This Row],[Producer Type]], CraftingTypes[Producer Type], 0))</f>
        <v>1.25</v>
      </c>
      <c r="G32" s="38">
        <f>INDEX(CraftingTypes[Bonus], MATCH(Items[[#This Row],[Producer Type]], CraftingTypes[Producer Type], 0)) + 1</f>
        <v>1</v>
      </c>
      <c r="H32" s="38">
        <f>1 / Items[[#This Row],[Cycle Time for One]]</f>
        <v>0.625</v>
      </c>
      <c r="I32" s="36" t="b">
        <f>IFERROR(OR(Items[[#This Row],[Name]] = SelectedName, INDEX(CraftingTypes[Include], MATCH(Items[[#This Row],[Producer Type]], CraftingTypes[Producer Type], 0))), FALSE)</f>
        <v>1</v>
      </c>
      <c r="J32" s="38">
        <f>IF(Items[[#This Row],[Name]] = SelectedName, 1, IF(NOT(Items[[#This Row],[Include]]), 0, SUMIFS(RecipeTotals.Quantity, RecipeTotals.Name, SelectedName, RecipeTotals.Component, Items[[#This Row],[Name]])))</f>
        <v>0</v>
      </c>
      <c r="K32" s="38">
        <f>IFERROR(Items[[#This Row],[Selected Count]] / CycleTime.Actual, "")</f>
        <v>0</v>
      </c>
      <c r="L32" s="38">
        <f>IFERROR(Items[[#This Row],[Selected Per Second]] / Items[[#This Row],[Per Second]], "")</f>
        <v>0</v>
      </c>
      <c r="M32" s="38">
        <f>IFERROR(Items[[#This Row],[Selected Per Second]] / Items[[#This Row],[Per Second]], "")</f>
        <v>0</v>
      </c>
      <c r="N32" s="38">
        <f>IFERROR(CEILING(Items[[#This Row],[Fractional Producers for Selected Count]], 1), 0)</f>
        <v>0</v>
      </c>
      <c r="O32" s="38" t="str">
        <f>IF(AND(Items[[#This Row],[Producers For Selected Count]] &gt; 0, Items[[#This Row],[Include]]), ROW() - ROW(Items[#Headers]), "")</f>
        <v/>
      </c>
      <c r="P32" s="38" t="str">
        <f>IFERROR(SMALL(Items[Include Row Index], ROW() - ROW(Items[#Headers])), "")</f>
        <v/>
      </c>
      <c r="R32" t="s">
        <v>101</v>
      </c>
      <c r="S32" t="s">
        <v>98</v>
      </c>
      <c r="T32">
        <v>1</v>
      </c>
      <c r="U32" s="1" t="str">
        <f>IFERROR(IF(INDEX(Items[Selected Count], MATCH(Recipes[[#This Row],[Name]], Items[Name], 0)) &gt; 0, ROW() - ROW(Recipes[#Headers]), ""), "")</f>
        <v/>
      </c>
      <c r="V32" s="1" t="str">
        <f>IFERROR(SMALL(Recipes[Selected], ROW() - ROW(Recipes[#Headers])), "")</f>
        <v/>
      </c>
      <c r="W32" s="1" t="str">
        <f>IFERROR(INDEX(Recipes[Name], Recipes[[#This Row],[Selected Sorted]]), "")</f>
        <v/>
      </c>
      <c r="X32" s="1" t="str">
        <f>IFERROR(INDEX(Recipes[Component], Recipes[[#This Row],[Selected Sorted]]), "")</f>
        <v/>
      </c>
      <c r="Y32" s="1" t="str">
        <f>IFERROR(INDEX(Recipes[Quantity], Recipes[[#This Row],[Selected Sorted]]), "")</f>
        <v/>
      </c>
      <c r="AA32" t="s">
        <v>68</v>
      </c>
      <c r="AB32" t="s">
        <v>52</v>
      </c>
      <c r="AC32">
        <v>5</v>
      </c>
      <c r="AD32" t="str">
        <f>IFERROR(IF(INDEX(Items[Selected Count], MATCH(Recipes2[[#This Row],[Name]], Items[Name], 0)) &gt; 0, ROW() - ROW(Recipes2[#Headers]), ""), "")</f>
        <v/>
      </c>
      <c r="AE32" t="str">
        <f>IFERROR(SMALL(Recipes2[Selected], ROW() - ROW(Recipes2[#Headers])), "")</f>
        <v/>
      </c>
      <c r="AF32" t="str">
        <f>IFERROR(INDEX(Recipes2[Name], Recipes2[[#This Row],[Selected Sorted]]), "")</f>
        <v/>
      </c>
      <c r="AG32" t="str">
        <f>IFERROR(INDEX(Recipes2[Component], Recipes2[[#This Row],[Selected Sorted]]), "")</f>
        <v/>
      </c>
      <c r="AH32" s="1" t="str">
        <f>IFERROR(INDEX(Recipes2[Quantity], Recipes2[[#This Row],[Selected Sorted]]), "")</f>
        <v/>
      </c>
    </row>
    <row r="33" spans="1:34" x14ac:dyDescent="0.25">
      <c r="A33" t="s">
        <v>5</v>
      </c>
      <c r="B33">
        <v>0.5</v>
      </c>
      <c r="C33">
        <f>MAX(Items[[#This Row],[Base Cycle Time]] / Items[[#This Row],[Speed]], MinInsertionTime) / Items[[#This Row],[Quantity Per Cycle]] / Items[[#This Row],[Bonus]]</f>
        <v>0.4</v>
      </c>
      <c r="D33" s="39">
        <v>1</v>
      </c>
      <c r="E33" t="s">
        <v>59</v>
      </c>
      <c r="F33" s="39">
        <f>INDEX(CraftingTypes[Speed], MATCH(Items[[#This Row],[Producer Type]], CraftingTypes[Producer Type], 0))</f>
        <v>1.25</v>
      </c>
      <c r="G33" s="39">
        <f>INDEX(CraftingTypes[Bonus], MATCH(Items[[#This Row],[Producer Type]], CraftingTypes[Producer Type], 0)) + 1</f>
        <v>1</v>
      </c>
      <c r="H33" s="39">
        <f>1 / Items[[#This Row],[Cycle Time for One]]</f>
        <v>2.5</v>
      </c>
      <c r="I33" s="37" t="b">
        <f>IFERROR(OR(Items[[#This Row],[Name]] = SelectedName, INDEX(CraftingTypes[Include], MATCH(Items[[#This Row],[Producer Type]], CraftingTypes[Producer Type], 0))), FALSE)</f>
        <v>1</v>
      </c>
      <c r="J33" s="39">
        <f>IF(Items[[#This Row],[Name]] = SelectedName, 1, IF(NOT(Items[[#This Row],[Include]]), 0, SUMIFS(RecipeTotals.Quantity, RecipeTotals.Name, SelectedName, RecipeTotals.Component, Items[[#This Row],[Name]])))</f>
        <v>1</v>
      </c>
      <c r="K33" s="39">
        <f>IFERROR(Items[[#This Row],[Selected Count]] / CycleTime.Actual, "")</f>
        <v>2.5</v>
      </c>
      <c r="L33" s="39">
        <f>IFERROR(Items[[#This Row],[Selected Per Second]] / Items[[#This Row],[Per Second]], "")</f>
        <v>1</v>
      </c>
      <c r="M33" s="39">
        <f>IFERROR(Items[[#This Row],[Selected Per Second]] / Items[[#This Row],[Per Second]], "")</f>
        <v>1</v>
      </c>
      <c r="N33" s="39">
        <f>IFERROR(CEILING(Items[[#This Row],[Fractional Producers for Selected Count]], 1), 0)</f>
        <v>1</v>
      </c>
      <c r="O33" s="38">
        <f>IF(AND(Items[[#This Row],[Producers For Selected Count]] &gt; 0, Items[[#This Row],[Include]]), ROW() - ROW(Items[#Headers]), "")</f>
        <v>32</v>
      </c>
      <c r="P33" s="38" t="str">
        <f>IFERROR(SMALL(Items[Include Row Index], ROW() - ROW(Items[#Headers])), "")</f>
        <v/>
      </c>
      <c r="R33" t="s">
        <v>161</v>
      </c>
      <c r="S33" t="s">
        <v>53</v>
      </c>
      <c r="T33">
        <v>8</v>
      </c>
      <c r="U33" s="1" t="str">
        <f>IFERROR(IF(INDEX(Items[Selected Count], MATCH(Recipes[[#This Row],[Name]], Items[Name], 0)) &gt; 0, ROW() - ROW(Recipes[#Headers]), ""), "")</f>
        <v/>
      </c>
      <c r="V33" s="1" t="str">
        <f>IFERROR(SMALL(Recipes[Selected], ROW() - ROW(Recipes[#Headers])), "")</f>
        <v/>
      </c>
      <c r="W33" s="1" t="str">
        <f>IFERROR(INDEX(Recipes[Name], Recipes[[#This Row],[Selected Sorted]]), "")</f>
        <v/>
      </c>
      <c r="X33" s="1" t="str">
        <f>IFERROR(INDEX(Recipes[Component], Recipes[[#This Row],[Selected Sorted]]), "")</f>
        <v/>
      </c>
      <c r="Y33" s="1" t="str">
        <f>IFERROR(INDEX(Recipes[Quantity], Recipes[[#This Row],[Selected Sorted]]), "")</f>
        <v/>
      </c>
      <c r="AA33" t="s">
        <v>55</v>
      </c>
      <c r="AB33" t="s">
        <v>52</v>
      </c>
      <c r="AC33">
        <v>2</v>
      </c>
      <c r="AD33" t="str">
        <f>IFERROR(IF(INDEX(Items[Selected Count], MATCH(Recipes2[[#This Row],[Name]], Items[Name], 0)) &gt; 0, ROW() - ROW(Recipes2[#Headers]), ""), "")</f>
        <v/>
      </c>
      <c r="AE33" t="str">
        <f>IFERROR(SMALL(Recipes2[Selected], ROW() - ROW(Recipes2[#Headers])), "")</f>
        <v/>
      </c>
      <c r="AF33" t="str">
        <f>IFERROR(INDEX(Recipes2[Name], Recipes2[[#This Row],[Selected Sorted]]), "")</f>
        <v/>
      </c>
      <c r="AG33" t="str">
        <f>IFERROR(INDEX(Recipes2[Component], Recipes2[[#This Row],[Selected Sorted]]), "")</f>
        <v/>
      </c>
      <c r="AH33" s="1" t="str">
        <f>IFERROR(INDEX(Recipes2[Quantity], Recipes2[[#This Row],[Selected Sorted]]), "")</f>
        <v/>
      </c>
    </row>
    <row r="34" spans="1:34" x14ac:dyDescent="0.25">
      <c r="A34" t="s">
        <v>53</v>
      </c>
      <c r="B34">
        <v>10</v>
      </c>
      <c r="C34">
        <f>MAX(Items[[#This Row],[Base Cycle Time]] / Items[[#This Row],[Speed]], MinInsertionTime) / Items[[#This Row],[Quantity Per Cycle]] / Items[[#This Row],[Bonus]]</f>
        <v>8</v>
      </c>
      <c r="D34" s="39">
        <v>1</v>
      </c>
      <c r="E34" t="s">
        <v>59</v>
      </c>
      <c r="F34" s="39">
        <f>INDEX(CraftingTypes[Speed], MATCH(Items[[#This Row],[Producer Type]], CraftingTypes[Producer Type], 0))</f>
        <v>1.25</v>
      </c>
      <c r="G34" s="39">
        <f>INDEX(CraftingTypes[Bonus], MATCH(Items[[#This Row],[Producer Type]], CraftingTypes[Producer Type], 0)) + 1</f>
        <v>1</v>
      </c>
      <c r="H34" s="38">
        <f>1 / Items[[#This Row],[Cycle Time for One]]</f>
        <v>0.125</v>
      </c>
      <c r="I34" s="36" t="b">
        <f>IFERROR(OR(Items[[#This Row],[Name]] = SelectedName, INDEX(CraftingTypes[Include], MATCH(Items[[#This Row],[Producer Type]], CraftingTypes[Producer Type], 0))), FALSE)</f>
        <v>1</v>
      </c>
      <c r="J34" s="38">
        <f>IF(Items[[#This Row],[Name]] = SelectedName, 1, IF(NOT(Items[[#This Row],[Include]]), 0, SUMIFS(RecipeTotals.Quantity, RecipeTotals.Name, SelectedName, RecipeTotals.Component, Items[[#This Row],[Name]])))</f>
        <v>0</v>
      </c>
      <c r="K34" s="38">
        <f>IFERROR(Items[[#This Row],[Selected Count]] / CycleTime.Actual, "")</f>
        <v>0</v>
      </c>
      <c r="L34" s="38">
        <f>IFERROR(Items[[#This Row],[Selected Per Second]] / Items[[#This Row],[Per Second]], "")</f>
        <v>0</v>
      </c>
      <c r="M34" s="38">
        <f>IFERROR(Items[[#This Row],[Selected Per Second]] / Items[[#This Row],[Per Second]], "")</f>
        <v>0</v>
      </c>
      <c r="N34" s="38">
        <f>IFERROR(CEILING(Items[[#This Row],[Fractional Producers for Selected Count]], 1), 0)</f>
        <v>0</v>
      </c>
      <c r="O34" s="38" t="str">
        <f>IF(AND(Items[[#This Row],[Producers For Selected Count]] &gt; 0, Items[[#This Row],[Include]]), ROW() - ROW(Items[#Headers]), "")</f>
        <v/>
      </c>
      <c r="P34" s="38" t="str">
        <f>IFERROR(SMALL(Items[Include Row Index], ROW() - ROW(Items[#Headers])), "")</f>
        <v/>
      </c>
      <c r="R34" t="s">
        <v>161</v>
      </c>
      <c r="S34" t="s">
        <v>2</v>
      </c>
      <c r="T34">
        <v>20</v>
      </c>
      <c r="U34" s="1" t="str">
        <f>IFERROR(IF(INDEX(Items[Selected Count], MATCH(Recipes[[#This Row],[Name]], Items[Name], 0)) &gt; 0, ROW() - ROW(Recipes[#Headers]), ""), "")</f>
        <v/>
      </c>
      <c r="V34" s="1" t="str">
        <f>IFERROR(SMALL(Recipes[Selected], ROW() - ROW(Recipes[#Headers])), "")</f>
        <v/>
      </c>
      <c r="W34" s="1" t="str">
        <f>IFERROR(INDEX(Recipes[Name], Recipes[[#This Row],[Selected Sorted]]), "")</f>
        <v/>
      </c>
      <c r="X34" s="1" t="str">
        <f>IFERROR(INDEX(Recipes[Component], Recipes[[#This Row],[Selected Sorted]]), "")</f>
        <v/>
      </c>
      <c r="Y34" s="1" t="str">
        <f>IFERROR(INDEX(Recipes[Quantity], Recipes[[#This Row],[Selected Sorted]]), "")</f>
        <v/>
      </c>
      <c r="AA34" t="s">
        <v>81</v>
      </c>
      <c r="AB34" t="s">
        <v>52</v>
      </c>
      <c r="AC34">
        <v>1</v>
      </c>
      <c r="AD34" s="1" t="str">
        <f>IFERROR(IF(INDEX(Items[Selected Count], MATCH(Recipes2[[#This Row],[Name]], Items[Name], 0)) &gt; 0, ROW() - ROW(Recipes2[#Headers]), ""), "")</f>
        <v/>
      </c>
      <c r="AE34" s="1" t="str">
        <f>IFERROR(SMALL(Recipes2[Selected], ROW() - ROW(Recipes2[#Headers])), "")</f>
        <v/>
      </c>
      <c r="AF34" s="1" t="str">
        <f>IFERROR(INDEX(Recipes2[Name], Recipes2[[#This Row],[Selected Sorted]]), "")</f>
        <v/>
      </c>
      <c r="AG34" s="1" t="str">
        <f>IFERROR(INDEX(Recipes2[Component], Recipes2[[#This Row],[Selected Sorted]]), "")</f>
        <v/>
      </c>
      <c r="AH34" s="1" t="str">
        <f>IFERROR(INDEX(Recipes2[Quantity], Recipes2[[#This Row],[Selected Sorted]]), "")</f>
        <v/>
      </c>
    </row>
    <row r="35" spans="1:34" x14ac:dyDescent="0.25">
      <c r="A35" t="s">
        <v>139</v>
      </c>
      <c r="B35">
        <v>5</v>
      </c>
      <c r="C35" s="1">
        <f>MAX(Items[[#This Row],[Base Cycle Time]] / Items[[#This Row],[Speed]], MinInsertionTime) / Items[[#This Row],[Quantity Per Cycle]] / Items[[#This Row],[Bonus]]</f>
        <v>1.6</v>
      </c>
      <c r="D35" s="39">
        <v>1</v>
      </c>
      <c r="E35" t="s">
        <v>60</v>
      </c>
      <c r="F35" s="38">
        <f>INDEX(CraftingTypes[Speed], MATCH(Items[[#This Row],[Producer Type]], CraftingTypes[Producer Type], 0))</f>
        <v>3.125</v>
      </c>
      <c r="G35" s="38">
        <f>INDEX(CraftingTypes[Bonus], MATCH(Items[[#This Row],[Producer Type]], CraftingTypes[Producer Type], 0)) + 1</f>
        <v>1</v>
      </c>
      <c r="H35" s="38">
        <f>1 / Items[[#This Row],[Cycle Time for One]]</f>
        <v>0.625</v>
      </c>
      <c r="I35" s="36" t="b">
        <f>IFERROR(OR(Items[[#This Row],[Name]] = SelectedName, INDEX(CraftingTypes[Include], MATCH(Items[[#This Row],[Producer Type]], CraftingTypes[Producer Type], 0))), FALSE)</f>
        <v>1</v>
      </c>
      <c r="J35" s="38">
        <f>IF(Items[[#This Row],[Name]] = SelectedName, 1, IF(NOT(Items[[#This Row],[Include]]), 0, SUMIFS(RecipeTotals.Quantity, RecipeTotals.Name, SelectedName, RecipeTotals.Component, Items[[#This Row],[Name]])))</f>
        <v>0</v>
      </c>
      <c r="K35" s="38">
        <f>IFERROR(Items[[#This Row],[Selected Count]] / CycleTime.Actual, "")</f>
        <v>0</v>
      </c>
      <c r="L35" s="38">
        <f>IFERROR(Items[[#This Row],[Selected Per Second]] / Items[[#This Row],[Per Second]], "")</f>
        <v>0</v>
      </c>
      <c r="M35" s="38">
        <f>IFERROR(Items[[#This Row],[Selected Per Second]] / Items[[#This Row],[Per Second]], "")</f>
        <v>0</v>
      </c>
      <c r="N35" s="38">
        <f>IFERROR(CEILING(Items[[#This Row],[Fractional Producers for Selected Count]], 1), 0)</f>
        <v>0</v>
      </c>
      <c r="O35" s="38" t="str">
        <f>IF(AND(Items[[#This Row],[Producers For Selected Count]] &gt; 0, Items[[#This Row],[Include]]), ROW() - ROW(Items[#Headers]), "")</f>
        <v/>
      </c>
      <c r="P35" s="38" t="str">
        <f>IFERROR(SMALL(Items[Include Row Index], ROW() - ROW(Items[#Headers])), "")</f>
        <v/>
      </c>
      <c r="R35" t="s">
        <v>161</v>
      </c>
      <c r="S35" t="s">
        <v>35</v>
      </c>
      <c r="T35">
        <v>5</v>
      </c>
      <c r="U35" s="1" t="str">
        <f>IFERROR(IF(INDEX(Items[Selected Count], MATCH(Recipes[[#This Row],[Name]], Items[Name], 0)) &gt; 0, ROW() - ROW(Recipes[#Headers]), ""), "")</f>
        <v/>
      </c>
      <c r="V35" s="1" t="str">
        <f>IFERROR(SMALL(Recipes[Selected], ROW() - ROW(Recipes[#Headers])), "")</f>
        <v/>
      </c>
      <c r="W35" s="1" t="str">
        <f>IFERROR(INDEX(Recipes[Name], Recipes[[#This Row],[Selected Sorted]]), "")</f>
        <v/>
      </c>
      <c r="X35" s="1" t="str">
        <f>IFERROR(INDEX(Recipes[Component], Recipes[[#This Row],[Selected Sorted]]), "")</f>
        <v/>
      </c>
      <c r="Y35" s="1" t="str">
        <f>IFERROR(INDEX(Recipes[Quantity], Recipes[[#This Row],[Selected Sorted]]), "")</f>
        <v/>
      </c>
      <c r="AA35" t="s">
        <v>111</v>
      </c>
      <c r="AB35" t="s">
        <v>52</v>
      </c>
      <c r="AC35">
        <v>12</v>
      </c>
      <c r="AD35" s="1" t="str">
        <f>IFERROR(IF(INDEX(Items[Selected Count], MATCH(Recipes2[[#This Row],[Name]], Items[Name], 0)) &gt; 0, ROW() - ROW(Recipes2[#Headers]), ""), "")</f>
        <v/>
      </c>
      <c r="AE35" s="1" t="str">
        <f>IFERROR(SMALL(Recipes2[Selected], ROW() - ROW(Recipes2[#Headers])), "")</f>
        <v/>
      </c>
      <c r="AF35" s="1" t="str">
        <f>IFERROR(INDEX(Recipes2[Name], Recipes2[[#This Row],[Selected Sorted]]), "")</f>
        <v/>
      </c>
      <c r="AG35" s="1" t="str">
        <f>IFERROR(INDEX(Recipes2[Component], Recipes2[[#This Row],[Selected Sorted]]), "")</f>
        <v/>
      </c>
      <c r="AH35" s="1" t="str">
        <f>IFERROR(INDEX(Recipes2[Quantity], Recipes2[[#This Row],[Selected Sorted]]), "")</f>
        <v/>
      </c>
    </row>
    <row r="36" spans="1:34" x14ac:dyDescent="0.25">
      <c r="A36" t="s">
        <v>32</v>
      </c>
      <c r="B36">
        <v>2</v>
      </c>
      <c r="C36">
        <f>MAX(Items[[#This Row],[Base Cycle Time]] / Items[[#This Row],[Speed]], MinInsertionTime) / Items[[#This Row],[Quantity Per Cycle]] / Items[[#This Row],[Bonus]]</f>
        <v>1.6</v>
      </c>
      <c r="D36" s="39">
        <v>1</v>
      </c>
      <c r="E36" t="s">
        <v>59</v>
      </c>
      <c r="F36" s="39">
        <f>INDEX(CraftingTypes[Speed], MATCH(Items[[#This Row],[Producer Type]], CraftingTypes[Producer Type], 0))</f>
        <v>1.25</v>
      </c>
      <c r="G36" s="39">
        <f>INDEX(CraftingTypes[Bonus], MATCH(Items[[#This Row],[Producer Type]], CraftingTypes[Producer Type], 0)) + 1</f>
        <v>1</v>
      </c>
      <c r="H36" s="38">
        <f>1 / Items[[#This Row],[Cycle Time for One]]</f>
        <v>0.625</v>
      </c>
      <c r="I36" s="36" t="b">
        <f>IFERROR(OR(Items[[#This Row],[Name]] = SelectedName, INDEX(CraftingTypes[Include], MATCH(Items[[#This Row],[Producer Type]], CraftingTypes[Producer Type], 0))), FALSE)</f>
        <v>1</v>
      </c>
      <c r="J36" s="38">
        <f>IF(Items[[#This Row],[Name]] = SelectedName, 1, IF(NOT(Items[[#This Row],[Include]]), 0, SUMIFS(RecipeTotals.Quantity, RecipeTotals.Name, SelectedName, RecipeTotals.Component, Items[[#This Row],[Name]])))</f>
        <v>0</v>
      </c>
      <c r="K36" s="38">
        <f>IFERROR(Items[[#This Row],[Selected Count]] / CycleTime.Actual, "")</f>
        <v>0</v>
      </c>
      <c r="L36" s="38">
        <f>IFERROR(Items[[#This Row],[Selected Per Second]] / Items[[#This Row],[Per Second]], "")</f>
        <v>0</v>
      </c>
      <c r="M36" s="38">
        <f>IFERROR(Items[[#This Row],[Selected Per Second]] / Items[[#This Row],[Per Second]], "")</f>
        <v>0</v>
      </c>
      <c r="N36" s="38">
        <f>IFERROR(CEILING(Items[[#This Row],[Fractional Producers for Selected Count]], 1), 0)</f>
        <v>0</v>
      </c>
      <c r="O36" s="38" t="str">
        <f>IF(AND(Items[[#This Row],[Producers For Selected Count]] &gt; 0, Items[[#This Row],[Include]]), ROW() - ROW(Items[#Headers]), "")</f>
        <v/>
      </c>
      <c r="P36" s="38" t="str">
        <f>IFERROR(SMALL(Items[Include Row Index], ROW() - ROW(Items[#Headers])), "")</f>
        <v/>
      </c>
      <c r="R36" t="s">
        <v>159</v>
      </c>
      <c r="S36" t="s">
        <v>8</v>
      </c>
      <c r="T36">
        <v>10</v>
      </c>
      <c r="U36" s="1" t="str">
        <f>IFERROR(IF(INDEX(Items[Selected Count], MATCH(Recipes[[#This Row],[Name]], Items[Name], 0)) &gt; 0, ROW() - ROW(Recipes[#Headers]), ""), "")</f>
        <v/>
      </c>
      <c r="V36" s="1" t="str">
        <f>IFERROR(SMALL(Recipes[Selected], ROW() - ROW(Recipes[#Headers])), "")</f>
        <v/>
      </c>
      <c r="W36" s="1" t="str">
        <f>IFERROR(INDEX(Recipes[Name], Recipes[[#This Row],[Selected Sorted]]), "")</f>
        <v/>
      </c>
      <c r="X36" s="1" t="str">
        <f>IFERROR(INDEX(Recipes[Component], Recipes[[#This Row],[Selected Sorted]]), "")</f>
        <v/>
      </c>
      <c r="Y36" s="1" t="str">
        <f>IFERROR(INDEX(Recipes[Quantity], Recipes[[#This Row],[Selected Sorted]]), "")</f>
        <v/>
      </c>
      <c r="AA36" t="s">
        <v>139</v>
      </c>
      <c r="AB36" t="s">
        <v>38</v>
      </c>
      <c r="AC36">
        <v>1</v>
      </c>
      <c r="AD36" s="1" t="str">
        <f>IFERROR(IF(INDEX(Items[Selected Count], MATCH(Recipes2[[#This Row],[Name]], Items[Name], 0)) &gt; 0, ROW() - ROW(Recipes2[#Headers]), ""), "")</f>
        <v/>
      </c>
      <c r="AE36" s="1" t="str">
        <f>IFERROR(SMALL(Recipes2[Selected], ROW() - ROW(Recipes2[#Headers])), "")</f>
        <v/>
      </c>
      <c r="AF36" s="1" t="str">
        <f>IFERROR(INDEX(Recipes2[Name], Recipes2[[#This Row],[Selected Sorted]]), "")</f>
        <v/>
      </c>
      <c r="AG36" s="1" t="str">
        <f>IFERROR(INDEX(Recipes2[Component], Recipes2[[#This Row],[Selected Sorted]]), "")</f>
        <v/>
      </c>
      <c r="AH36" s="1" t="str">
        <f>IFERROR(INDEX(Recipes2[Quantity], Recipes2[[#This Row],[Selected Sorted]]), "")</f>
        <v/>
      </c>
    </row>
    <row r="37" spans="1:34" x14ac:dyDescent="0.25">
      <c r="A37" t="s">
        <v>26</v>
      </c>
      <c r="B37">
        <v>0.5</v>
      </c>
      <c r="C37">
        <f>MAX(Items[[#This Row],[Base Cycle Time]] / Items[[#This Row],[Speed]], MinInsertionTime) / Items[[#This Row],[Quantity Per Cycle]] / Items[[#This Row],[Bonus]]</f>
        <v>0.4</v>
      </c>
      <c r="D37" s="39">
        <v>1</v>
      </c>
      <c r="E37" t="s">
        <v>59</v>
      </c>
      <c r="F37" s="39">
        <f>INDEX(CraftingTypes[Speed], MATCH(Items[[#This Row],[Producer Type]], CraftingTypes[Producer Type], 0))</f>
        <v>1.25</v>
      </c>
      <c r="G37" s="39">
        <f>INDEX(CraftingTypes[Bonus], MATCH(Items[[#This Row],[Producer Type]], CraftingTypes[Producer Type], 0)) + 1</f>
        <v>1</v>
      </c>
      <c r="H37" s="38">
        <f>1 / Items[[#This Row],[Cycle Time for One]]</f>
        <v>2.5</v>
      </c>
      <c r="I37" s="36" t="b">
        <f>IFERROR(OR(Items[[#This Row],[Name]] = SelectedName, INDEX(CraftingTypes[Include], MATCH(Items[[#This Row],[Producer Type]], CraftingTypes[Producer Type], 0))), FALSE)</f>
        <v>1</v>
      </c>
      <c r="J37" s="38">
        <f>IF(Items[[#This Row],[Name]] = SelectedName, 1, IF(NOT(Items[[#This Row],[Include]]), 0, SUMIFS(RecipeTotals.Quantity, RecipeTotals.Name, SelectedName, RecipeTotals.Component, Items[[#This Row],[Name]])))</f>
        <v>0</v>
      </c>
      <c r="K37" s="38">
        <f>IFERROR(Items[[#This Row],[Selected Count]] / CycleTime.Actual, "")</f>
        <v>0</v>
      </c>
      <c r="L37" s="38">
        <f>IFERROR(Items[[#This Row],[Selected Per Second]] / Items[[#This Row],[Per Second]], "")</f>
        <v>0</v>
      </c>
      <c r="M37" s="38">
        <f>IFERROR(Items[[#This Row],[Selected Per Second]] / Items[[#This Row],[Per Second]], "")</f>
        <v>0</v>
      </c>
      <c r="N37" s="38">
        <f>IFERROR(CEILING(Items[[#This Row],[Fractional Producers for Selected Count]], 1), 0)</f>
        <v>0</v>
      </c>
      <c r="O37" s="38" t="str">
        <f>IF(AND(Items[[#This Row],[Producers For Selected Count]] &gt; 0, Items[[#This Row],[Include]]), ROW() - ROW(Items[#Headers]), "")</f>
        <v/>
      </c>
      <c r="P37" s="38" t="str">
        <f>IFERROR(SMALL(Items[Include Row Index], ROW() - ROW(Items[#Headers])), "")</f>
        <v/>
      </c>
      <c r="R37" t="s">
        <v>159</v>
      </c>
      <c r="S37" t="s">
        <v>2</v>
      </c>
      <c r="T37">
        <v>20</v>
      </c>
      <c r="U37" s="1" t="str">
        <f>IFERROR(IF(INDEX(Items[Selected Count], MATCH(Recipes[[#This Row],[Name]], Items[Name], 0)) &gt; 0, ROW() - ROW(Recipes[#Headers]), ""), "")</f>
        <v/>
      </c>
      <c r="V37" s="1" t="str">
        <f>IFERROR(SMALL(Recipes[Selected], ROW() - ROW(Recipes[#Headers])), "")</f>
        <v/>
      </c>
      <c r="W37" s="1" t="str">
        <f>IFERROR(INDEX(Recipes[Name], Recipes[[#This Row],[Selected Sorted]]), "")</f>
        <v/>
      </c>
      <c r="X37" s="1" t="str">
        <f>IFERROR(INDEX(Recipes[Component], Recipes[[#This Row],[Selected Sorted]]), "")</f>
        <v/>
      </c>
      <c r="Y37" s="1" t="str">
        <f>IFERROR(INDEX(Recipes[Quantity], Recipes[[#This Row],[Selected Sorted]]), "")</f>
        <v/>
      </c>
      <c r="AA37" t="s">
        <v>37</v>
      </c>
      <c r="AB37" t="s">
        <v>38</v>
      </c>
      <c r="AC37">
        <v>10</v>
      </c>
      <c r="AD37" t="str">
        <f>IFERROR(IF(INDEX(Items[Selected Count], MATCH(Recipes2[[#This Row],[Name]], Items[Name], 0)) &gt; 0, ROW() - ROW(Recipes2[#Headers]), ""), "")</f>
        <v/>
      </c>
      <c r="AE37" t="str">
        <f>IFERROR(SMALL(Recipes2[Selected], ROW() - ROW(Recipes2[#Headers])), "")</f>
        <v/>
      </c>
      <c r="AF37" t="str">
        <f>IFERROR(INDEX(Recipes2[Name], Recipes2[[#This Row],[Selected Sorted]]), "")</f>
        <v/>
      </c>
      <c r="AG37" t="str">
        <f>IFERROR(INDEX(Recipes2[Component], Recipes2[[#This Row],[Selected Sorted]]), "")</f>
        <v/>
      </c>
      <c r="AH37" s="1" t="str">
        <f>IFERROR(INDEX(Recipes2[Quantity], Recipes2[[#This Row],[Selected Sorted]]), "")</f>
        <v/>
      </c>
    </row>
    <row r="38" spans="1:34" x14ac:dyDescent="0.25">
      <c r="A38" t="s">
        <v>29</v>
      </c>
      <c r="B38">
        <v>0.5</v>
      </c>
      <c r="C38">
        <f>MAX(Items[[#This Row],[Base Cycle Time]] / Items[[#This Row],[Speed]], MinInsertionTime) / Items[[#This Row],[Quantity Per Cycle]] / Items[[#This Row],[Bonus]]</f>
        <v>0.2</v>
      </c>
      <c r="D38" s="39">
        <v>2</v>
      </c>
      <c r="E38" t="s">
        <v>59</v>
      </c>
      <c r="F38" s="39">
        <f>INDEX(CraftingTypes[Speed], MATCH(Items[[#This Row],[Producer Type]], CraftingTypes[Producer Type], 0))</f>
        <v>1.25</v>
      </c>
      <c r="G38" s="39">
        <f>INDEX(CraftingTypes[Bonus], MATCH(Items[[#This Row],[Producer Type]], CraftingTypes[Producer Type], 0)) + 1</f>
        <v>1</v>
      </c>
      <c r="H38" s="38">
        <f>1 / Items[[#This Row],[Cycle Time for One]]</f>
        <v>5</v>
      </c>
      <c r="I38" s="36" t="b">
        <f>IFERROR(OR(Items[[#This Row],[Name]] = SelectedName, INDEX(CraftingTypes[Include], MATCH(Items[[#This Row],[Producer Type]], CraftingTypes[Producer Type], 0))), FALSE)</f>
        <v>1</v>
      </c>
      <c r="J38" s="38">
        <f>IF(Items[[#This Row],[Name]] = SelectedName, 1, IF(NOT(Items[[#This Row],[Include]]), 0, SUMIFS(RecipeTotals.Quantity, RecipeTotals.Name, SelectedName, RecipeTotals.Component, Items[[#This Row],[Name]])))</f>
        <v>0</v>
      </c>
      <c r="K38" s="38">
        <f>IFERROR(Items[[#This Row],[Selected Count]] / CycleTime.Actual, "")</f>
        <v>0</v>
      </c>
      <c r="L38" s="38">
        <f>IFERROR(Items[[#This Row],[Selected Per Second]] / Items[[#This Row],[Per Second]], "")</f>
        <v>0</v>
      </c>
      <c r="M38" s="38">
        <f>IFERROR(Items[[#This Row],[Selected Per Second]] / Items[[#This Row],[Per Second]], "")</f>
        <v>0</v>
      </c>
      <c r="N38" s="38">
        <f>IFERROR(CEILING(Items[[#This Row],[Fractional Producers for Selected Count]], 1), 0)</f>
        <v>0</v>
      </c>
      <c r="O38" s="38" t="str">
        <f>IF(AND(Items[[#This Row],[Producers For Selected Count]] &gt; 0, Items[[#This Row],[Include]]), ROW() - ROW(Items[#Headers]), "")</f>
        <v/>
      </c>
      <c r="P38" s="38" t="str">
        <f>IFERROR(SMALL(Items[Include Row Index], ROW() - ROW(Items[#Headers])), "")</f>
        <v/>
      </c>
      <c r="R38" t="s">
        <v>159</v>
      </c>
      <c r="S38" t="s">
        <v>35</v>
      </c>
      <c r="T38">
        <v>20</v>
      </c>
      <c r="U38" s="1" t="str">
        <f>IFERROR(IF(INDEX(Items[Selected Count], MATCH(Recipes[[#This Row],[Name]], Items[Name], 0)) &gt; 0, ROW() - ROW(Recipes[#Headers]), ""), "")</f>
        <v/>
      </c>
      <c r="V38" s="1" t="str">
        <f>IFERROR(SMALL(Recipes[Selected], ROW() - ROW(Recipes[#Headers])), "")</f>
        <v/>
      </c>
      <c r="W38" s="1" t="str">
        <f>IFERROR(INDEX(Recipes[Name], Recipes[[#This Row],[Selected Sorted]]), "")</f>
        <v/>
      </c>
      <c r="X38" s="1" t="str">
        <f>IFERROR(INDEX(Recipes[Component], Recipes[[#This Row],[Selected Sorted]]), "")</f>
        <v/>
      </c>
      <c r="Y38" s="1" t="str">
        <f>IFERROR(INDEX(Recipes[Quantity], Recipes[[#This Row],[Selected Sorted]]), "")</f>
        <v/>
      </c>
      <c r="AA38" t="s">
        <v>3</v>
      </c>
      <c r="AB38" t="s">
        <v>38</v>
      </c>
      <c r="AC38">
        <v>1</v>
      </c>
      <c r="AD38" s="1" t="str">
        <f>IFERROR(IF(INDEX(Items[Selected Count], MATCH(Recipes2[[#This Row],[Name]], Items[Name], 0)) &gt; 0, ROW() - ROW(Recipes2[#Headers]), ""), "")</f>
        <v/>
      </c>
      <c r="AE38" s="1" t="str">
        <f>IFERROR(SMALL(Recipes2[Selected], ROW() - ROW(Recipes2[#Headers])), "")</f>
        <v/>
      </c>
      <c r="AF38" s="1" t="str">
        <f>IFERROR(INDEX(Recipes2[Name], Recipes2[[#This Row],[Selected Sorted]]), "")</f>
        <v/>
      </c>
      <c r="AG38" s="1" t="str">
        <f>IFERROR(INDEX(Recipes2[Component], Recipes2[[#This Row],[Selected Sorted]]), "")</f>
        <v/>
      </c>
      <c r="AH38" s="1" t="str">
        <f>IFERROR(INDEX(Recipes2[Quantity], Recipes2[[#This Row],[Selected Sorted]]), "")</f>
        <v/>
      </c>
    </row>
    <row r="39" spans="1:34" x14ac:dyDescent="0.25">
      <c r="A39" t="s">
        <v>44</v>
      </c>
      <c r="B39">
        <v>0.5</v>
      </c>
      <c r="C39">
        <f>MAX(Items[[#This Row],[Base Cycle Time]] / Items[[#This Row],[Speed]], MinInsertionTime) / Items[[#This Row],[Quantity Per Cycle]] / Items[[#This Row],[Bonus]]</f>
        <v>0.4</v>
      </c>
      <c r="D39" s="39">
        <v>1</v>
      </c>
      <c r="E39" t="s">
        <v>59</v>
      </c>
      <c r="F39" s="39">
        <f>INDEX(CraftingTypes[Speed], MATCH(Items[[#This Row],[Producer Type]], CraftingTypes[Producer Type], 0))</f>
        <v>1.25</v>
      </c>
      <c r="G39" s="39">
        <f>INDEX(CraftingTypes[Bonus], MATCH(Items[[#This Row],[Producer Type]], CraftingTypes[Producer Type], 0)) + 1</f>
        <v>1</v>
      </c>
      <c r="H39" s="38">
        <f>1 / Items[[#This Row],[Cycle Time for One]]</f>
        <v>2.5</v>
      </c>
      <c r="I39" s="36" t="b">
        <f>IFERROR(OR(Items[[#This Row],[Name]] = SelectedName, INDEX(CraftingTypes[Include], MATCH(Items[[#This Row],[Producer Type]], CraftingTypes[Producer Type], 0))), FALSE)</f>
        <v>1</v>
      </c>
      <c r="J39" s="38">
        <f>IF(Items[[#This Row],[Name]] = SelectedName, 1, IF(NOT(Items[[#This Row],[Include]]), 0, SUMIFS(RecipeTotals.Quantity, RecipeTotals.Name, SelectedName, RecipeTotals.Component, Items[[#This Row],[Name]])))</f>
        <v>0</v>
      </c>
      <c r="K39" s="38">
        <f>IFERROR(Items[[#This Row],[Selected Count]] / CycleTime.Actual, "")</f>
        <v>0</v>
      </c>
      <c r="L39" s="38">
        <f>IFERROR(Items[[#This Row],[Selected Per Second]] / Items[[#This Row],[Per Second]], "")</f>
        <v>0</v>
      </c>
      <c r="M39" s="38">
        <f>IFERROR(Items[[#This Row],[Selected Per Second]] / Items[[#This Row],[Per Second]], "")</f>
        <v>0</v>
      </c>
      <c r="N39" s="38">
        <f>IFERROR(CEILING(Items[[#This Row],[Fractional Producers for Selected Count]], 1), 0)</f>
        <v>0</v>
      </c>
      <c r="O39" s="38" t="str">
        <f>IF(AND(Items[[#This Row],[Producers For Selected Count]] &gt; 0, Items[[#This Row],[Include]]), ROW() - ROW(Items[#Headers]), "")</f>
        <v/>
      </c>
      <c r="P39" s="38" t="str">
        <f>IFERROR(SMALL(Items[Include Row Index], ROW() - ROW(Items[#Headers])), "")</f>
        <v/>
      </c>
      <c r="R39" t="s">
        <v>149</v>
      </c>
      <c r="S39" t="s">
        <v>6</v>
      </c>
      <c r="T39">
        <v>100</v>
      </c>
      <c r="U39" s="1" t="str">
        <f>IFERROR(IF(INDEX(Items[Selected Count], MATCH(Recipes[[#This Row],[Name]], Items[Name], 0)) &gt; 0, ROW() - ROW(Recipes[#Headers]), ""), "")</f>
        <v/>
      </c>
      <c r="V39" s="1" t="str">
        <f>IFERROR(SMALL(Recipes[Selected], ROW() - ROW(Recipes[#Headers])), "")</f>
        <v/>
      </c>
      <c r="W39" s="1" t="str">
        <f>IFERROR(INDEX(Recipes[Name], Recipes[[#This Row],[Selected Sorted]]), "")</f>
        <v/>
      </c>
      <c r="X39" s="1" t="str">
        <f>IFERROR(INDEX(Recipes[Component], Recipes[[#This Row],[Selected Sorted]]), "")</f>
        <v/>
      </c>
      <c r="Y39" s="1" t="str">
        <f>IFERROR(INDEX(Recipes[Quantity], Recipes[[#This Row],[Selected Sorted]]), "")</f>
        <v/>
      </c>
      <c r="AA39" t="s">
        <v>125</v>
      </c>
      <c r="AB39" t="s">
        <v>38</v>
      </c>
      <c r="AC39">
        <v>10</v>
      </c>
      <c r="AD39" s="1" t="str">
        <f>IFERROR(IF(INDEX(Items[Selected Count], MATCH(Recipes2[[#This Row],[Name]], Items[Name], 0)) &gt; 0, ROW() - ROW(Recipes2[#Headers]), ""), "")</f>
        <v/>
      </c>
      <c r="AE39" s="1" t="str">
        <f>IFERROR(SMALL(Recipes2[Selected], ROW() - ROW(Recipes2[#Headers])), "")</f>
        <v/>
      </c>
      <c r="AF39" s="1" t="str">
        <f>IFERROR(INDEX(Recipes2[Name], Recipes2[[#This Row],[Selected Sorted]]), "")</f>
        <v/>
      </c>
      <c r="AG39" s="1" t="str">
        <f>IFERROR(INDEX(Recipes2[Component], Recipes2[[#This Row],[Selected Sorted]]), "")</f>
        <v/>
      </c>
      <c r="AH39" s="1" t="str">
        <f>IFERROR(INDEX(Recipes2[Quantity], Recipes2[[#This Row],[Selected Sorted]]), "")</f>
        <v/>
      </c>
    </row>
    <row r="40" spans="1:34" x14ac:dyDescent="0.25">
      <c r="A40" t="s">
        <v>31</v>
      </c>
      <c r="B40">
        <v>2</v>
      </c>
      <c r="C40">
        <f>MAX(Items[[#This Row],[Base Cycle Time]] / Items[[#This Row],[Speed]], MinInsertionTime) / Items[[#This Row],[Quantity Per Cycle]] / Items[[#This Row],[Bonus]]</f>
        <v>1.6</v>
      </c>
      <c r="D40" s="39">
        <v>1</v>
      </c>
      <c r="E40" t="s">
        <v>59</v>
      </c>
      <c r="F40" s="39">
        <f>INDEX(CraftingTypes[Speed], MATCH(Items[[#This Row],[Producer Type]], CraftingTypes[Producer Type], 0))</f>
        <v>1.25</v>
      </c>
      <c r="G40" s="39">
        <f>INDEX(CraftingTypes[Bonus], MATCH(Items[[#This Row],[Producer Type]], CraftingTypes[Producer Type], 0)) + 1</f>
        <v>1</v>
      </c>
      <c r="H40" s="38">
        <f>1 / Items[[#This Row],[Cycle Time for One]]</f>
        <v>0.625</v>
      </c>
      <c r="I40" s="36" t="b">
        <f>IFERROR(OR(Items[[#This Row],[Name]] = SelectedName, INDEX(CraftingTypes[Include], MATCH(Items[[#This Row],[Producer Type]], CraftingTypes[Producer Type], 0))), FALSE)</f>
        <v>1</v>
      </c>
      <c r="J40" s="38">
        <f>IF(Items[[#This Row],[Name]] = SelectedName, 1, IF(NOT(Items[[#This Row],[Include]]), 0, SUMIFS(RecipeTotals.Quantity, RecipeTotals.Name, SelectedName, RecipeTotals.Component, Items[[#This Row],[Name]])))</f>
        <v>0</v>
      </c>
      <c r="K40" s="38">
        <f>IFERROR(Items[[#This Row],[Selected Count]] / CycleTime.Actual, "")</f>
        <v>0</v>
      </c>
      <c r="L40" s="38">
        <f>IFERROR(Items[[#This Row],[Selected Per Second]] / Items[[#This Row],[Per Second]], "")</f>
        <v>0</v>
      </c>
      <c r="M40" s="38">
        <f>IFERROR(Items[[#This Row],[Selected Per Second]] / Items[[#This Row],[Per Second]], "")</f>
        <v>0</v>
      </c>
      <c r="N40" s="38">
        <f>IFERROR(CEILING(Items[[#This Row],[Fractional Producers for Selected Count]], 1), 0)</f>
        <v>0</v>
      </c>
      <c r="O40" s="38" t="str">
        <f>IF(AND(Items[[#This Row],[Producers For Selected Count]] &gt; 0, Items[[#This Row],[Include]]), ROW() - ROW(Items[#Headers]), "")</f>
        <v/>
      </c>
      <c r="P40" s="38" t="str">
        <f>IFERROR(SMALL(Items[Include Row Index], ROW() - ROW(Items[#Headers])), "")</f>
        <v/>
      </c>
      <c r="R40" t="s">
        <v>149</v>
      </c>
      <c r="S40" t="s">
        <v>146</v>
      </c>
      <c r="T40">
        <v>100</v>
      </c>
      <c r="U40" s="1" t="str">
        <f>IFERROR(IF(INDEX(Items[Selected Count], MATCH(Recipes[[#This Row],[Name]], Items[Name], 0)) &gt; 0, ROW() - ROW(Recipes[#Headers]), ""), "")</f>
        <v/>
      </c>
      <c r="V40" s="1" t="str">
        <f>IFERROR(SMALL(Recipes[Selected], ROW() - ROW(Recipes[#Headers])), "")</f>
        <v/>
      </c>
      <c r="W40" s="1" t="str">
        <f>IFERROR(INDEX(Recipes[Name], Recipes[[#This Row],[Selected Sorted]]), "")</f>
        <v/>
      </c>
      <c r="X40" s="1" t="str">
        <f>IFERROR(INDEX(Recipes[Component], Recipes[[#This Row],[Selected Sorted]]), "")</f>
        <v/>
      </c>
      <c r="Y40" s="1" t="str">
        <f>IFERROR(INDEX(Recipes[Quantity], Recipes[[#This Row],[Selected Sorted]]), "")</f>
        <v/>
      </c>
      <c r="AA40" t="s">
        <v>126</v>
      </c>
      <c r="AB40" t="s">
        <v>38</v>
      </c>
      <c r="AC40">
        <v>5</v>
      </c>
      <c r="AD40" s="1" t="str">
        <f>IFERROR(IF(INDEX(Items[Selected Count], MATCH(Recipes2[[#This Row],[Name]], Items[Name], 0)) &gt; 0, ROW() - ROW(Recipes2[#Headers]), ""), "")</f>
        <v/>
      </c>
      <c r="AE40" s="1" t="str">
        <f>IFERROR(SMALL(Recipes2[Selected], ROW() - ROW(Recipes2[#Headers])), "")</f>
        <v/>
      </c>
      <c r="AF40" s="1" t="str">
        <f>IFERROR(INDEX(Recipes2[Name], Recipes2[[#This Row],[Selected Sorted]]), "")</f>
        <v/>
      </c>
      <c r="AG40" s="1" t="str">
        <f>IFERROR(INDEX(Recipes2[Component], Recipes2[[#This Row],[Selected Sorted]]), "")</f>
        <v/>
      </c>
      <c r="AH40" s="1" t="str">
        <f>IFERROR(INDEX(Recipes2[Quantity], Recipes2[[#This Row],[Selected Sorted]]), "")</f>
        <v/>
      </c>
    </row>
    <row r="41" spans="1:34" x14ac:dyDescent="0.25">
      <c r="A41" t="s">
        <v>25</v>
      </c>
      <c r="B41">
        <v>0.5</v>
      </c>
      <c r="C41">
        <f>MAX(Items[[#This Row],[Base Cycle Time]] / Items[[#This Row],[Speed]], MinInsertionTime) / Items[[#This Row],[Quantity Per Cycle]] / Items[[#This Row],[Bonus]]</f>
        <v>0.4</v>
      </c>
      <c r="D41" s="39">
        <v>1</v>
      </c>
      <c r="E41" t="s">
        <v>59</v>
      </c>
      <c r="F41" s="39">
        <f>INDEX(CraftingTypes[Speed], MATCH(Items[[#This Row],[Producer Type]], CraftingTypes[Producer Type], 0))</f>
        <v>1.25</v>
      </c>
      <c r="G41" s="39">
        <f>INDEX(CraftingTypes[Bonus], MATCH(Items[[#This Row],[Producer Type]], CraftingTypes[Producer Type], 0)) + 1</f>
        <v>1</v>
      </c>
      <c r="H41" s="38">
        <f>1 / Items[[#This Row],[Cycle Time for One]]</f>
        <v>2.5</v>
      </c>
      <c r="I41" s="36" t="b">
        <f>IFERROR(OR(Items[[#This Row],[Name]] = SelectedName, INDEX(CraftingTypes[Include], MATCH(Items[[#This Row],[Producer Type]], CraftingTypes[Producer Type], 0))), FALSE)</f>
        <v>1</v>
      </c>
      <c r="J41" s="38">
        <f>IF(Items[[#This Row],[Name]] = SelectedName, 1, IF(NOT(Items[[#This Row],[Include]]), 0, SUMIFS(RecipeTotals.Quantity, RecipeTotals.Name, SelectedName, RecipeTotals.Component, Items[[#This Row],[Name]])))</f>
        <v>0</v>
      </c>
      <c r="K41" s="38">
        <f>IFERROR(Items[[#This Row],[Selected Count]] / CycleTime.Actual, "")</f>
        <v>0</v>
      </c>
      <c r="L41" s="38">
        <f>IFERROR(Items[[#This Row],[Selected Per Second]] / Items[[#This Row],[Per Second]], "")</f>
        <v>0</v>
      </c>
      <c r="M41" s="38">
        <f>IFERROR(Items[[#This Row],[Selected Per Second]] / Items[[#This Row],[Per Second]], "")</f>
        <v>0</v>
      </c>
      <c r="N41" s="38">
        <f>IFERROR(CEILING(Items[[#This Row],[Fractional Producers for Selected Count]], 1), 0)</f>
        <v>0</v>
      </c>
      <c r="O41" s="38" t="str">
        <f>IF(AND(Items[[#This Row],[Producers For Selected Count]] &gt; 0, Items[[#This Row],[Include]]), ROW() - ROW(Items[#Headers]), "")</f>
        <v/>
      </c>
      <c r="P41" s="38" t="str">
        <f>IFERROR(SMALL(Items[Include Row Index], ROW() - ROW(Items[#Headers])), "")</f>
        <v/>
      </c>
      <c r="R41" t="s">
        <v>149</v>
      </c>
      <c r="S41" t="s">
        <v>8</v>
      </c>
      <c r="T41">
        <v>100</v>
      </c>
      <c r="U41" s="1" t="str">
        <f>IFERROR(IF(INDEX(Items[Selected Count], MATCH(Recipes[[#This Row],[Name]], Items[Name], 0)) &gt; 0, ROW() - ROW(Recipes[#Headers]), ""), "")</f>
        <v/>
      </c>
      <c r="V41" s="1" t="str">
        <f>IFERROR(SMALL(Recipes[Selected], ROW() - ROW(Recipes[#Headers])), "")</f>
        <v/>
      </c>
      <c r="W41" s="1" t="str">
        <f>IFERROR(INDEX(Recipes[Name], Recipes[[#This Row],[Selected Sorted]]), "")</f>
        <v/>
      </c>
      <c r="X41" s="1" t="str">
        <f>IFERROR(INDEX(Recipes[Component], Recipes[[#This Row],[Selected Sorted]]), "")</f>
        <v/>
      </c>
      <c r="Y41" s="1" t="str">
        <f>IFERROR(INDEX(Recipes[Quantity], Recipes[[#This Row],[Selected Sorted]]), "")</f>
        <v/>
      </c>
      <c r="AA41" t="s">
        <v>149</v>
      </c>
      <c r="AB41" t="s">
        <v>146</v>
      </c>
      <c r="AC41">
        <v>100</v>
      </c>
      <c r="AD41" s="1" t="str">
        <f>IFERROR(IF(INDEX(Items[Selected Count], MATCH(Recipes2[[#This Row],[Name]], Items[Name], 0)) &gt; 0, ROW() - ROW(Recipes2[#Headers]), ""), "")</f>
        <v/>
      </c>
      <c r="AE41" s="1" t="str">
        <f>IFERROR(SMALL(Recipes2[Selected], ROW() - ROW(Recipes2[#Headers])), "")</f>
        <v/>
      </c>
      <c r="AF41" s="1" t="str">
        <f>IFERROR(INDEX(Recipes2[Name], Recipes2[[#This Row],[Selected Sorted]]), "")</f>
        <v/>
      </c>
      <c r="AG41" s="1" t="str">
        <f>IFERROR(INDEX(Recipes2[Component], Recipes2[[#This Row],[Selected Sorted]]), "")</f>
        <v/>
      </c>
      <c r="AH41" s="1" t="str">
        <f>IFERROR(INDEX(Recipes2[Quantity], Recipes2[[#This Row],[Selected Sorted]]), "")</f>
        <v/>
      </c>
    </row>
    <row r="42" spans="1:34" x14ac:dyDescent="0.25">
      <c r="A42" t="s">
        <v>28</v>
      </c>
      <c r="B42">
        <v>0.5</v>
      </c>
      <c r="C42">
        <f>MAX(Items[[#This Row],[Base Cycle Time]] / Items[[#This Row],[Speed]], MinInsertionTime) / Items[[#This Row],[Quantity Per Cycle]] / Items[[#This Row],[Bonus]]</f>
        <v>0.2</v>
      </c>
      <c r="D42" s="39">
        <v>2</v>
      </c>
      <c r="E42" t="s">
        <v>59</v>
      </c>
      <c r="F42" s="39">
        <f>INDEX(CraftingTypes[Speed], MATCH(Items[[#This Row],[Producer Type]], CraftingTypes[Producer Type], 0))</f>
        <v>1.25</v>
      </c>
      <c r="G42" s="39">
        <f>INDEX(CraftingTypes[Bonus], MATCH(Items[[#This Row],[Producer Type]], CraftingTypes[Producer Type], 0)) + 1</f>
        <v>1</v>
      </c>
      <c r="H42" s="38">
        <f>1 / Items[[#This Row],[Cycle Time for One]]</f>
        <v>5</v>
      </c>
      <c r="I42" s="36" t="b">
        <f>IFERROR(OR(Items[[#This Row],[Name]] = SelectedName, INDEX(CraftingTypes[Include], MATCH(Items[[#This Row],[Producer Type]], CraftingTypes[Producer Type], 0))), FALSE)</f>
        <v>1</v>
      </c>
      <c r="J42" s="38">
        <f>IF(Items[[#This Row],[Name]] = SelectedName, 1, IF(NOT(Items[[#This Row],[Include]]), 0, SUMIFS(RecipeTotals.Quantity, RecipeTotals.Name, SelectedName, RecipeTotals.Component, Items[[#This Row],[Name]])))</f>
        <v>0</v>
      </c>
      <c r="K42" s="38">
        <f>IFERROR(Items[[#This Row],[Selected Count]] / CycleTime.Actual, "")</f>
        <v>0</v>
      </c>
      <c r="L42" s="38">
        <f>IFERROR(Items[[#This Row],[Selected Per Second]] / Items[[#This Row],[Per Second]], "")</f>
        <v>0</v>
      </c>
      <c r="M42" s="38">
        <f>IFERROR(Items[[#This Row],[Selected Per Second]] / Items[[#This Row],[Per Second]], "")</f>
        <v>0</v>
      </c>
      <c r="N42" s="38">
        <f>IFERROR(CEILING(Items[[#This Row],[Fractional Producers for Selected Count]], 1), 0)</f>
        <v>0</v>
      </c>
      <c r="O42" s="38" t="str">
        <f>IF(AND(Items[[#This Row],[Producers For Selected Count]] &gt; 0, Items[[#This Row],[Include]]), ROW() - ROW(Items[#Headers]), "")</f>
        <v/>
      </c>
      <c r="P42" s="38" t="str">
        <f>IFERROR(SMALL(Items[Include Row Index], ROW() - ROW(Items[#Headers])), "")</f>
        <v/>
      </c>
      <c r="R42" t="s">
        <v>149</v>
      </c>
      <c r="S42" t="s">
        <v>35</v>
      </c>
      <c r="T42">
        <v>50</v>
      </c>
      <c r="U42" s="1" t="str">
        <f>IFERROR(IF(INDEX(Items[Selected Count], MATCH(Recipes[[#This Row],[Name]], Items[Name], 0)) &gt; 0, ROW() - ROW(Recipes[#Headers]), ""), "")</f>
        <v/>
      </c>
      <c r="V42" s="1" t="str">
        <f>IFERROR(SMALL(Recipes[Selected], ROW() - ROW(Recipes[#Headers])), "")</f>
        <v/>
      </c>
      <c r="W42" s="1" t="str">
        <f>IFERROR(INDEX(Recipes[Name], Recipes[[#This Row],[Selected Sorted]]), "")</f>
        <v/>
      </c>
      <c r="X42" s="1" t="str">
        <f>IFERROR(INDEX(Recipes[Component], Recipes[[#This Row],[Selected Sorted]]), "")</f>
        <v/>
      </c>
      <c r="Y42" s="1" t="str">
        <f>IFERROR(INDEX(Recipes[Quantity], Recipes[[#This Row],[Selected Sorted]]), "")</f>
        <v/>
      </c>
      <c r="AA42" t="s">
        <v>167</v>
      </c>
      <c r="AB42" t="s">
        <v>146</v>
      </c>
      <c r="AC42">
        <v>10</v>
      </c>
      <c r="AD42" s="1" t="str">
        <f>IFERROR(IF(INDEX(Items[Selected Count], MATCH(Recipes2[[#This Row],[Name]], Items[Name], 0)) &gt; 0, ROW() - ROW(Recipes2[#Headers]), ""), "")</f>
        <v/>
      </c>
      <c r="AE42" s="1" t="str">
        <f>IFERROR(SMALL(Recipes2[Selected], ROW() - ROW(Recipes2[#Headers])), "")</f>
        <v/>
      </c>
      <c r="AF42" s="1" t="str">
        <f>IFERROR(INDEX(Recipes2[Name], Recipes2[[#This Row],[Selected Sorted]]), "")</f>
        <v/>
      </c>
      <c r="AG42" s="1" t="str">
        <f>IFERROR(INDEX(Recipes2[Component], Recipes2[[#This Row],[Selected Sorted]]), "")</f>
        <v/>
      </c>
      <c r="AH42" s="1" t="str">
        <f>IFERROR(INDEX(Recipes2[Quantity], Recipes2[[#This Row],[Selected Sorted]]), "")</f>
        <v/>
      </c>
    </row>
    <row r="43" spans="1:34" x14ac:dyDescent="0.25">
      <c r="A43" t="s">
        <v>45</v>
      </c>
      <c r="B43">
        <v>0.5</v>
      </c>
      <c r="C43">
        <f>MAX(Items[[#This Row],[Base Cycle Time]] / Items[[#This Row],[Speed]], MinInsertionTime) / Items[[#This Row],[Quantity Per Cycle]] / Items[[#This Row],[Bonus]]</f>
        <v>0.4</v>
      </c>
      <c r="D43" s="39">
        <v>1</v>
      </c>
      <c r="E43" t="s">
        <v>59</v>
      </c>
      <c r="F43" s="39">
        <f>INDEX(CraftingTypes[Speed], MATCH(Items[[#This Row],[Producer Type]], CraftingTypes[Producer Type], 0))</f>
        <v>1.25</v>
      </c>
      <c r="G43" s="39">
        <f>INDEX(CraftingTypes[Bonus], MATCH(Items[[#This Row],[Producer Type]], CraftingTypes[Producer Type], 0)) + 1</f>
        <v>1</v>
      </c>
      <c r="H43" s="38">
        <f>1 / Items[[#This Row],[Cycle Time for One]]</f>
        <v>2.5</v>
      </c>
      <c r="I43" s="36" t="b">
        <f>IFERROR(OR(Items[[#This Row],[Name]] = SelectedName, INDEX(CraftingTypes[Include], MATCH(Items[[#This Row],[Producer Type]], CraftingTypes[Producer Type], 0))), FALSE)</f>
        <v>1</v>
      </c>
      <c r="J43" s="38">
        <f>IF(Items[[#This Row],[Name]] = SelectedName, 1, IF(NOT(Items[[#This Row],[Include]]), 0, SUMIFS(RecipeTotals.Quantity, RecipeTotals.Name, SelectedName, RecipeTotals.Component, Items[[#This Row],[Name]])))</f>
        <v>0</v>
      </c>
      <c r="K43" s="38">
        <f>IFERROR(Items[[#This Row],[Selected Count]] / CycleTime.Actual, "")</f>
        <v>0</v>
      </c>
      <c r="L43" s="38">
        <f>IFERROR(Items[[#This Row],[Selected Per Second]] / Items[[#This Row],[Per Second]], "")</f>
        <v>0</v>
      </c>
      <c r="M43" s="38">
        <f>IFERROR(Items[[#This Row],[Selected Per Second]] / Items[[#This Row],[Per Second]], "")</f>
        <v>0</v>
      </c>
      <c r="N43" s="38">
        <f>IFERROR(CEILING(Items[[#This Row],[Fractional Producers for Selected Count]], 1), 0)</f>
        <v>0</v>
      </c>
      <c r="O43" s="38" t="str">
        <f>IF(AND(Items[[#This Row],[Producers For Selected Count]] &gt; 0, Items[[#This Row],[Include]]), ROW() - ROW(Items[#Headers]), "")</f>
        <v/>
      </c>
      <c r="P43" s="38" t="str">
        <f>IFERROR(SMALL(Items[Include Row Index], ROW() - ROW(Items[#Headers])), "")</f>
        <v/>
      </c>
      <c r="R43" t="s">
        <v>60</v>
      </c>
      <c r="S43" t="s">
        <v>5</v>
      </c>
      <c r="T43">
        <v>5</v>
      </c>
      <c r="U43" s="1" t="str">
        <f>IFERROR(IF(INDEX(Items[Selected Count], MATCH(Recipes[[#This Row],[Name]], Items[Name], 0)) &gt; 0, ROW() - ROW(Recipes[#Headers]), ""), "")</f>
        <v/>
      </c>
      <c r="V43" s="1" t="str">
        <f>IFERROR(SMALL(Recipes[Selected], ROW() - ROW(Recipes[#Headers])), "")</f>
        <v/>
      </c>
      <c r="W43" s="1" t="str">
        <f>IFERROR(INDEX(Recipes[Name], Recipes[[#This Row],[Selected Sorted]]), "")</f>
        <v/>
      </c>
      <c r="X43" s="1" t="str">
        <f>IFERROR(INDEX(Recipes[Component], Recipes[[#This Row],[Selected Sorted]]), "")</f>
        <v/>
      </c>
      <c r="Y43" s="1" t="str">
        <f>IFERROR(INDEX(Recipes[Quantity], Recipes[[#This Row],[Selected Sorted]]), "")</f>
        <v/>
      </c>
      <c r="AA43" t="s">
        <v>145</v>
      </c>
      <c r="AB43" t="s">
        <v>146</v>
      </c>
      <c r="AC43">
        <v>500</v>
      </c>
      <c r="AD43" s="1" t="str">
        <f>IFERROR(IF(INDEX(Items[Selected Count], MATCH(Recipes2[[#This Row],[Name]], Items[Name], 0)) &gt; 0, ROW() - ROW(Recipes2[#Headers]), ""), "")</f>
        <v/>
      </c>
      <c r="AE43" s="1" t="str">
        <f>IFERROR(SMALL(Recipes2[Selected], ROW() - ROW(Recipes2[#Headers])), "")</f>
        <v/>
      </c>
      <c r="AF43" s="1" t="str">
        <f>IFERROR(INDEX(Recipes2[Name], Recipes2[[#This Row],[Selected Sorted]]), "")</f>
        <v/>
      </c>
      <c r="AG43" s="1" t="str">
        <f>IFERROR(INDEX(Recipes2[Component], Recipes2[[#This Row],[Selected Sorted]]), "")</f>
        <v/>
      </c>
      <c r="AH43" s="1" t="str">
        <f>IFERROR(INDEX(Recipes2[Quantity], Recipes2[[#This Row],[Selected Sorted]]), "")</f>
        <v/>
      </c>
    </row>
    <row r="44" spans="1:34" x14ac:dyDescent="0.25">
      <c r="A44" t="s">
        <v>71</v>
      </c>
      <c r="B44">
        <v>1</v>
      </c>
      <c r="C44">
        <f>MAX(Items[[#This Row],[Base Cycle Time]] / Items[[#This Row],[Speed]], MinInsertionTime) / Items[[#This Row],[Quantity Per Cycle]] / Items[[#This Row],[Bonus]]</f>
        <v>0.8</v>
      </c>
      <c r="D44" s="39">
        <v>1</v>
      </c>
      <c r="E44" t="s">
        <v>59</v>
      </c>
      <c r="F44" s="39">
        <f>INDEX(CraftingTypes[Speed], MATCH(Items[[#This Row],[Producer Type]], CraftingTypes[Producer Type], 0))</f>
        <v>1.25</v>
      </c>
      <c r="G44" s="39">
        <f>INDEX(CraftingTypes[Bonus], MATCH(Items[[#This Row],[Producer Type]], CraftingTypes[Producer Type], 0)) + 1</f>
        <v>1</v>
      </c>
      <c r="H44" s="38">
        <f>1 / Items[[#This Row],[Cycle Time for One]]</f>
        <v>1.25</v>
      </c>
      <c r="I44" s="36" t="b">
        <f>IFERROR(OR(Items[[#This Row],[Name]] = SelectedName, INDEX(CraftingTypes[Include], MATCH(Items[[#This Row],[Producer Type]], CraftingTypes[Producer Type], 0))), FALSE)</f>
        <v>1</v>
      </c>
      <c r="J44" s="38">
        <f>IF(Items[[#This Row],[Name]] = SelectedName, 1, IF(NOT(Items[[#This Row],[Include]]), 0, SUMIFS(RecipeTotals.Quantity, RecipeTotals.Name, SelectedName, RecipeTotals.Component, Items[[#This Row],[Name]])))</f>
        <v>0</v>
      </c>
      <c r="K44" s="38">
        <f>IFERROR(Items[[#This Row],[Selected Count]] / CycleTime.Actual, "")</f>
        <v>0</v>
      </c>
      <c r="L44" s="38">
        <f>IFERROR(Items[[#This Row],[Selected Per Second]] / Items[[#This Row],[Per Second]], "")</f>
        <v>0</v>
      </c>
      <c r="M44" s="38">
        <f>IFERROR(Items[[#This Row],[Selected Per Second]] / Items[[#This Row],[Per Second]], "")</f>
        <v>0</v>
      </c>
      <c r="N44" s="38">
        <f>IFERROR(CEILING(Items[[#This Row],[Fractional Producers for Selected Count]], 1), 0)</f>
        <v>0</v>
      </c>
      <c r="O44" s="38" t="str">
        <f>IF(AND(Items[[#This Row],[Producers For Selected Count]] &gt; 0, Items[[#This Row],[Include]]), ROW() - ROW(Items[#Headers]), "")</f>
        <v/>
      </c>
      <c r="P44" s="38" t="str">
        <f>IFERROR(SMALL(Items[Include Row Index], ROW() - ROW(Items[#Headers])), "")</f>
        <v/>
      </c>
      <c r="R44" t="s">
        <v>60</v>
      </c>
      <c r="S44" t="s">
        <v>8</v>
      </c>
      <c r="T44">
        <v>5</v>
      </c>
      <c r="U44" s="1" t="str">
        <f>IFERROR(IF(INDEX(Items[Selected Count], MATCH(Recipes[[#This Row],[Name]], Items[Name], 0)) &gt; 0, ROW() - ROW(Recipes[#Headers]), ""), "")</f>
        <v/>
      </c>
      <c r="V44" s="1" t="str">
        <f>IFERROR(SMALL(Recipes[Selected], ROW() - ROW(Recipes[#Headers])), "")</f>
        <v/>
      </c>
      <c r="W44" s="1" t="str">
        <f>IFERROR(INDEX(Recipes[Name], Recipes[[#This Row],[Selected Sorted]]), "")</f>
        <v/>
      </c>
      <c r="X44" s="1" t="str">
        <f>IFERROR(INDEX(Recipes[Component], Recipes[[#This Row],[Selected Sorted]]), "")</f>
        <v/>
      </c>
      <c r="Y44" s="1" t="str">
        <f>IFERROR(INDEX(Recipes[Quantity], Recipes[[#This Row],[Selected Sorted]]), "")</f>
        <v/>
      </c>
      <c r="AA44" t="s">
        <v>6</v>
      </c>
      <c r="AB44" t="s">
        <v>1</v>
      </c>
      <c r="AC44">
        <v>4</v>
      </c>
      <c r="AD44" t="str">
        <f>IFERROR(IF(INDEX(Items[Selected Count], MATCH(Recipes2[[#This Row],[Name]], Items[Name], 0)) &gt; 0, ROW() - ROW(Recipes2[#Headers]), ""), "")</f>
        <v/>
      </c>
      <c r="AE44" t="str">
        <f>IFERROR(SMALL(Recipes2[Selected], ROW() - ROW(Recipes2[#Headers])), "")</f>
        <v/>
      </c>
      <c r="AF44" t="str">
        <f>IFERROR(INDEX(Recipes2[Name], Recipes2[[#This Row],[Selected Sorted]]), "")</f>
        <v/>
      </c>
      <c r="AG44" t="str">
        <f>IFERROR(INDEX(Recipes2[Component], Recipes2[[#This Row],[Selected Sorted]]), "")</f>
        <v/>
      </c>
      <c r="AH44" s="1" t="str">
        <f>IFERROR(INDEX(Recipes2[Quantity], Recipes2[[#This Row],[Selected Sorted]]), "")</f>
        <v/>
      </c>
    </row>
    <row r="45" spans="1:34" x14ac:dyDescent="0.25">
      <c r="A45" t="s">
        <v>160</v>
      </c>
      <c r="B45">
        <v>1.5</v>
      </c>
      <c r="C45" s="1">
        <f>MAX(Items[[#This Row],[Base Cycle Time]] / Items[[#This Row],[Speed]], MinInsertionTime) / Items[[#This Row],[Quantity Per Cycle]] / Items[[#This Row],[Bonus]]</f>
        <v>1.2</v>
      </c>
      <c r="D45" s="39">
        <v>1</v>
      </c>
      <c r="E45" t="s">
        <v>59</v>
      </c>
      <c r="F45" s="38">
        <f>INDEX(CraftingTypes[Speed], MATCH(Items[[#This Row],[Producer Type]], CraftingTypes[Producer Type], 0))</f>
        <v>1.25</v>
      </c>
      <c r="G45" s="38">
        <f>INDEX(CraftingTypes[Bonus], MATCH(Items[[#This Row],[Producer Type]], CraftingTypes[Producer Type], 0)) + 1</f>
        <v>1</v>
      </c>
      <c r="H45" s="38">
        <f>1 / Items[[#This Row],[Cycle Time for One]]</f>
        <v>0.83333333333333337</v>
      </c>
      <c r="I45" s="36" t="b">
        <f>IFERROR(OR(Items[[#This Row],[Name]] = SelectedName, INDEX(CraftingTypes[Include], MATCH(Items[[#This Row],[Producer Type]], CraftingTypes[Producer Type], 0))), FALSE)</f>
        <v>1</v>
      </c>
      <c r="J45" s="38">
        <f>IF(Items[[#This Row],[Name]] = SelectedName, 1, IF(NOT(Items[[#This Row],[Include]]), 0, SUMIFS(RecipeTotals.Quantity, RecipeTotals.Name, SelectedName, RecipeTotals.Component, Items[[#This Row],[Name]])))</f>
        <v>0</v>
      </c>
      <c r="K45" s="38">
        <f>IFERROR(Items[[#This Row],[Selected Count]] / CycleTime.Actual, "")</f>
        <v>0</v>
      </c>
      <c r="L45" s="38">
        <f>IFERROR(Items[[#This Row],[Selected Per Second]] / Items[[#This Row],[Per Second]], "")</f>
        <v>0</v>
      </c>
      <c r="M45" s="38">
        <f>IFERROR(Items[[#This Row],[Selected Per Second]] / Items[[#This Row],[Per Second]], "")</f>
        <v>0</v>
      </c>
      <c r="N45" s="38">
        <f>IFERROR(CEILING(Items[[#This Row],[Fractional Producers for Selected Count]], 1), 0)</f>
        <v>0</v>
      </c>
      <c r="O45" s="38" t="str">
        <f>IF(AND(Items[[#This Row],[Producers For Selected Count]] &gt; 0, Items[[#This Row],[Include]]), ROW() - ROW(Items[#Headers]), "")</f>
        <v/>
      </c>
      <c r="P45" s="38" t="str">
        <f>IFERROR(SMALL(Items[Include Row Index], ROW() - ROW(Items[#Headers])), "")</f>
        <v/>
      </c>
      <c r="R45" t="s">
        <v>60</v>
      </c>
      <c r="S45" t="s">
        <v>23</v>
      </c>
      <c r="T45">
        <v>5</v>
      </c>
      <c r="U45" s="1" t="str">
        <f>IFERROR(IF(INDEX(Items[Selected Count], MATCH(Recipes[[#This Row],[Name]], Items[Name], 0)) &gt; 0, ROW() - ROW(Recipes[#Headers]), ""), "")</f>
        <v/>
      </c>
      <c r="V45" s="1" t="str">
        <f>IFERROR(SMALL(Recipes[Selected], ROW() - ROW(Recipes[#Headers])), "")</f>
        <v/>
      </c>
      <c r="W45" s="1" t="str">
        <f>IFERROR(INDEX(Recipes[Name], Recipes[[#This Row],[Selected Sorted]]), "")</f>
        <v/>
      </c>
      <c r="X45" s="1" t="str">
        <f>IFERROR(INDEX(Recipes[Component], Recipes[[#This Row],[Selected Sorted]]), "")</f>
        <v/>
      </c>
      <c r="Y45" s="1" t="str">
        <f>IFERROR(INDEX(Recipes[Quantity], Recipes[[#This Row],[Selected Sorted]]), "")</f>
        <v/>
      </c>
      <c r="AA45" t="s">
        <v>121</v>
      </c>
      <c r="AB45" t="s">
        <v>1</v>
      </c>
      <c r="AC45">
        <v>10</v>
      </c>
      <c r="AD45" s="1" t="str">
        <f>IFERROR(IF(INDEX(Items[Selected Count], MATCH(Recipes2[[#This Row],[Name]], Items[Name], 0)) &gt; 0, ROW() - ROW(Recipes2[#Headers]), ""), "")</f>
        <v/>
      </c>
      <c r="AE45" s="1" t="str">
        <f>IFERROR(SMALL(Recipes2[Selected], ROW() - ROW(Recipes2[#Headers])), "")</f>
        <v/>
      </c>
      <c r="AF45" s="1" t="str">
        <f>IFERROR(INDEX(Recipes2[Name], Recipes2[[#This Row],[Selected Sorted]]), "")</f>
        <v/>
      </c>
      <c r="AG45" s="1" t="str">
        <f>IFERROR(INDEX(Recipes2[Component], Recipes2[[#This Row],[Selected Sorted]]), "")</f>
        <v/>
      </c>
      <c r="AH45" s="1" t="str">
        <f>IFERROR(INDEX(Recipes2[Quantity], Recipes2[[#This Row],[Selected Sorted]]), "")</f>
        <v/>
      </c>
    </row>
    <row r="46" spans="1:34" x14ac:dyDescent="0.25">
      <c r="A46" t="s">
        <v>55</v>
      </c>
      <c r="B46">
        <v>20</v>
      </c>
      <c r="C46">
        <f>MAX(Items[[#This Row],[Base Cycle Time]] / Items[[#This Row],[Speed]], MinInsertionTime) / Items[[#This Row],[Quantity Per Cycle]] / Items[[#This Row],[Bonus]]</f>
        <v>16</v>
      </c>
      <c r="D46" s="39">
        <v>1</v>
      </c>
      <c r="E46" t="s">
        <v>59</v>
      </c>
      <c r="F46" s="39">
        <f>INDEX(CraftingTypes[Speed], MATCH(Items[[#This Row],[Producer Type]], CraftingTypes[Producer Type], 0))</f>
        <v>1.25</v>
      </c>
      <c r="G46" s="39">
        <f>INDEX(CraftingTypes[Bonus], MATCH(Items[[#This Row],[Producer Type]], CraftingTypes[Producer Type], 0)) + 1</f>
        <v>1</v>
      </c>
      <c r="H46" s="38">
        <f>1 / Items[[#This Row],[Cycle Time for One]]</f>
        <v>6.25E-2</v>
      </c>
      <c r="I46" s="36" t="b">
        <f>IFERROR(OR(Items[[#This Row],[Name]] = SelectedName, INDEX(CraftingTypes[Include], MATCH(Items[[#This Row],[Producer Type]], CraftingTypes[Producer Type], 0))), FALSE)</f>
        <v>1</v>
      </c>
      <c r="J46" s="38">
        <f>IF(Items[[#This Row],[Name]] = SelectedName, 1, IF(NOT(Items[[#This Row],[Include]]), 0, SUMIFS(RecipeTotals.Quantity, RecipeTotals.Name, SelectedName, RecipeTotals.Component, Items[[#This Row],[Name]])))</f>
        <v>0</v>
      </c>
      <c r="K46" s="38">
        <f>IFERROR(Items[[#This Row],[Selected Count]] / CycleTime.Actual, "")</f>
        <v>0</v>
      </c>
      <c r="L46" s="38">
        <f>IFERROR(Items[[#This Row],[Selected Per Second]] / Items[[#This Row],[Per Second]], "")</f>
        <v>0</v>
      </c>
      <c r="M46" s="38">
        <f>IFERROR(Items[[#This Row],[Selected Per Second]] / Items[[#This Row],[Per Second]], "")</f>
        <v>0</v>
      </c>
      <c r="N46" s="38">
        <f>IFERROR(CEILING(Items[[#This Row],[Fractional Producers for Selected Count]], 1), 0)</f>
        <v>0</v>
      </c>
      <c r="O46" s="38" t="str">
        <f>IF(AND(Items[[#This Row],[Producers For Selected Count]] &gt; 0, Items[[#This Row],[Include]]), ROW() - ROW(Items[#Headers]), "")</f>
        <v/>
      </c>
      <c r="P46" s="38" t="str">
        <f>IFERROR(SMALL(Items[Include Row Index], ROW() - ROW(Items[#Headers])), "")</f>
        <v/>
      </c>
      <c r="R46" t="s">
        <v>60</v>
      </c>
      <c r="S46" t="s">
        <v>35</v>
      </c>
      <c r="T46">
        <v>5</v>
      </c>
      <c r="U46" s="1" t="str">
        <f>IFERROR(IF(INDEX(Items[Selected Count], MATCH(Recipes[[#This Row],[Name]], Items[Name], 0)) &gt; 0, ROW() - ROW(Recipes[#Headers]), ""), "")</f>
        <v/>
      </c>
      <c r="V46" s="1" t="str">
        <f>IFERROR(SMALL(Recipes[Selected], ROW() - ROW(Recipes[#Headers])), "")</f>
        <v/>
      </c>
      <c r="W46" s="1" t="str">
        <f>IFERROR(INDEX(Recipes[Name], Recipes[[#This Row],[Selected Sorted]]), "")</f>
        <v/>
      </c>
      <c r="X46" s="1" t="str">
        <f>IFERROR(INDEX(Recipes[Component], Recipes[[#This Row],[Selected Sorted]]), "")</f>
        <v/>
      </c>
      <c r="Y46" s="1" t="str">
        <f>IFERROR(INDEX(Recipes[Quantity], Recipes[[#This Row],[Selected Sorted]]), "")</f>
        <v/>
      </c>
      <c r="AA46" t="s">
        <v>5</v>
      </c>
      <c r="AB46" t="s">
        <v>1</v>
      </c>
      <c r="AC46">
        <v>3</v>
      </c>
      <c r="AD46">
        <f>IFERROR(IF(INDEX(Items[Selected Count], MATCH(Recipes2[[#This Row],[Name]], Items[Name], 0)) &gt; 0, ROW() - ROW(Recipes2[#Headers]), ""), "")</f>
        <v>45</v>
      </c>
      <c r="AE46" t="str">
        <f>IFERROR(SMALL(Recipes2[Selected], ROW() - ROW(Recipes2[#Headers])), "")</f>
        <v/>
      </c>
      <c r="AF46" t="str">
        <f>IFERROR(INDEX(Recipes2[Name], Recipes2[[#This Row],[Selected Sorted]]), "")</f>
        <v/>
      </c>
      <c r="AG46" t="str">
        <f>IFERROR(INDEX(Recipes2[Component], Recipes2[[#This Row],[Selected Sorted]]), "")</f>
        <v/>
      </c>
      <c r="AH46" s="1" t="str">
        <f>IFERROR(INDEX(Recipes2[Quantity], Recipes2[[#This Row],[Selected Sorted]]), "")</f>
        <v/>
      </c>
    </row>
    <row r="47" spans="1:34" x14ac:dyDescent="0.25">
      <c r="A47" t="s">
        <v>37</v>
      </c>
      <c r="B47">
        <v>8</v>
      </c>
      <c r="C47">
        <f>MAX(Items[[#This Row],[Base Cycle Time]] / Items[[#This Row],[Speed]], MinInsertionTime) / Items[[#This Row],[Quantity Per Cycle]] / Items[[#This Row],[Bonus]]</f>
        <v>6.4</v>
      </c>
      <c r="D47" s="39">
        <v>1</v>
      </c>
      <c r="E47" t="s">
        <v>59</v>
      </c>
      <c r="F47" s="39">
        <f>INDEX(CraftingTypes[Speed], MATCH(Items[[#This Row],[Producer Type]], CraftingTypes[Producer Type], 0))</f>
        <v>1.25</v>
      </c>
      <c r="G47" s="39">
        <f>INDEX(CraftingTypes[Bonus], MATCH(Items[[#This Row],[Producer Type]], CraftingTypes[Producer Type], 0)) + 1</f>
        <v>1</v>
      </c>
      <c r="H47" s="38">
        <f>1 / Items[[#This Row],[Cycle Time for One]]</f>
        <v>0.15625</v>
      </c>
      <c r="I47" s="36" t="b">
        <f>IFERROR(OR(Items[[#This Row],[Name]] = SelectedName, INDEX(CraftingTypes[Include], MATCH(Items[[#This Row],[Producer Type]], CraftingTypes[Producer Type], 0))), FALSE)</f>
        <v>1</v>
      </c>
      <c r="J47" s="38">
        <f>IF(Items[[#This Row],[Name]] = SelectedName, 1, IF(NOT(Items[[#This Row],[Include]]), 0, SUMIFS(RecipeTotals.Quantity, RecipeTotals.Name, SelectedName, RecipeTotals.Component, Items[[#This Row],[Name]])))</f>
        <v>0</v>
      </c>
      <c r="K47" s="38">
        <f>IFERROR(Items[[#This Row],[Selected Count]] / CycleTime.Actual, "")</f>
        <v>0</v>
      </c>
      <c r="L47" s="38">
        <f>IFERROR(Items[[#This Row],[Selected Per Second]] / Items[[#This Row],[Per Second]], "")</f>
        <v>0</v>
      </c>
      <c r="M47" s="38">
        <f>IFERROR(Items[[#This Row],[Selected Per Second]] / Items[[#This Row],[Per Second]], "")</f>
        <v>0</v>
      </c>
      <c r="N47" s="38">
        <f>IFERROR(CEILING(Items[[#This Row],[Fractional Producers for Selected Count]], 1), 0)</f>
        <v>0</v>
      </c>
      <c r="O47" s="38" t="str">
        <f>IF(AND(Items[[#This Row],[Producers For Selected Count]] &gt; 0, Items[[#This Row],[Include]]), ROW() - ROW(Items[#Headers]), "")</f>
        <v/>
      </c>
      <c r="P47" s="38" t="str">
        <f>IFERROR(SMALL(Items[Include Row Index], ROW() - ROW(Items[#Headers])), "")</f>
        <v/>
      </c>
      <c r="R47" t="s">
        <v>146</v>
      </c>
      <c r="S47" t="s">
        <v>85</v>
      </c>
      <c r="T47">
        <v>1</v>
      </c>
      <c r="U47" s="1" t="str">
        <f>IFERROR(IF(INDEX(Items[Selected Count], MATCH(Recipes[[#This Row],[Name]], Items[Name], 0)) &gt; 0, ROW() - ROW(Recipes[#Headers]), ""), "")</f>
        <v/>
      </c>
      <c r="V47" s="1" t="str">
        <f>IFERROR(SMALL(Recipes[Selected], ROW() - ROW(Recipes[#Headers])), "")</f>
        <v/>
      </c>
      <c r="W47" s="1" t="str">
        <f>IFERROR(INDEX(Recipes[Name], Recipes[[#This Row],[Selected Sorted]]), "")</f>
        <v/>
      </c>
      <c r="X47" s="1" t="str">
        <f>IFERROR(INDEX(Recipes[Component], Recipes[[#This Row],[Selected Sorted]]), "")</f>
        <v/>
      </c>
      <c r="Y47" s="1" t="str">
        <f>IFERROR(INDEX(Recipes[Quantity], Recipes[[#This Row],[Selected Sorted]]), "")</f>
        <v/>
      </c>
      <c r="AA47" t="s">
        <v>81</v>
      </c>
      <c r="AB47" t="s">
        <v>1</v>
      </c>
      <c r="AC47">
        <v>30</v>
      </c>
      <c r="AD47" s="1" t="str">
        <f>IFERROR(IF(INDEX(Items[Selected Count], MATCH(Recipes2[[#This Row],[Name]], Items[Name], 0)) &gt; 0, ROW() - ROW(Recipes2[#Headers]), ""), "")</f>
        <v/>
      </c>
      <c r="AE47" s="1" t="str">
        <f>IFERROR(SMALL(Recipes2[Selected], ROW() - ROW(Recipes2[#Headers])), "")</f>
        <v/>
      </c>
      <c r="AF47" s="1" t="str">
        <f>IFERROR(INDEX(Recipes2[Name], Recipes2[[#This Row],[Selected Sorted]]), "")</f>
        <v/>
      </c>
      <c r="AG47" s="1" t="str">
        <f>IFERROR(INDEX(Recipes2[Component], Recipes2[[#This Row],[Selected Sorted]]), "")</f>
        <v/>
      </c>
      <c r="AH47" s="1" t="str">
        <f>IFERROR(INDEX(Recipes2[Quantity], Recipes2[[#This Row],[Selected Sorted]]), "")</f>
        <v/>
      </c>
    </row>
    <row r="48" spans="1:34" x14ac:dyDescent="0.25">
      <c r="A48" t="s">
        <v>36</v>
      </c>
      <c r="B48">
        <v>10</v>
      </c>
      <c r="C48">
        <f>MAX(Items[[#This Row],[Base Cycle Time]] / Items[[#This Row],[Speed]], MinInsertionTime) / Items[[#This Row],[Quantity Per Cycle]] / Items[[#This Row],[Bonus]]</f>
        <v>8</v>
      </c>
      <c r="D48" s="39">
        <v>1</v>
      </c>
      <c r="E48" t="s">
        <v>59</v>
      </c>
      <c r="F48" s="39">
        <f>INDEX(CraftingTypes[Speed], MATCH(Items[[#This Row],[Producer Type]], CraftingTypes[Producer Type], 0))</f>
        <v>1.25</v>
      </c>
      <c r="G48" s="39">
        <f>INDEX(CraftingTypes[Bonus], MATCH(Items[[#This Row],[Producer Type]], CraftingTypes[Producer Type], 0)) + 1</f>
        <v>1</v>
      </c>
      <c r="H48" s="38">
        <f>1 / Items[[#This Row],[Cycle Time for One]]</f>
        <v>0.125</v>
      </c>
      <c r="I48" s="36" t="b">
        <f>IFERROR(OR(Items[[#This Row],[Name]] = SelectedName, INDEX(CraftingTypes[Include], MATCH(Items[[#This Row],[Producer Type]], CraftingTypes[Producer Type], 0))), FALSE)</f>
        <v>1</v>
      </c>
      <c r="J48" s="38">
        <f>IF(Items[[#This Row],[Name]] = SelectedName, 1, IF(NOT(Items[[#This Row],[Include]]), 0, SUMIFS(RecipeTotals.Quantity, RecipeTotals.Name, SelectedName, RecipeTotals.Component, Items[[#This Row],[Name]])))</f>
        <v>0</v>
      </c>
      <c r="K48" s="38">
        <f>IFERROR(Items[[#This Row],[Selected Count]] / CycleTime.Actual, "")</f>
        <v>0</v>
      </c>
      <c r="L48" s="38">
        <f>IFERROR(Items[[#This Row],[Selected Per Second]] / Items[[#This Row],[Per Second]], "")</f>
        <v>0</v>
      </c>
      <c r="M48" s="38">
        <f>IFERROR(Items[[#This Row],[Selected Per Second]] / Items[[#This Row],[Per Second]], "")</f>
        <v>0</v>
      </c>
      <c r="N48" s="38">
        <f>IFERROR(CEILING(Items[[#This Row],[Fractional Producers for Selected Count]], 1), 0)</f>
        <v>0</v>
      </c>
      <c r="O48" s="38" t="str">
        <f>IF(AND(Items[[#This Row],[Producers For Selected Count]] &gt; 0, Items[[#This Row],[Include]]), ROW() - ROW(Items[#Headers]), "")</f>
        <v/>
      </c>
      <c r="P48" s="38" t="str">
        <f>IFERROR(SMALL(Items[Include Row Index], ROW() - ROW(Items[#Headers])), "")</f>
        <v/>
      </c>
      <c r="R48" t="s">
        <v>146</v>
      </c>
      <c r="S48" t="s">
        <v>83</v>
      </c>
      <c r="T48">
        <v>5</v>
      </c>
      <c r="U48" s="1" t="str">
        <f>IFERROR(IF(INDEX(Items[Selected Count], MATCH(Recipes[[#This Row],[Name]], Items[Name], 0)) &gt; 0, ROW() - ROW(Recipes[#Headers]), ""), "")</f>
        <v/>
      </c>
      <c r="V48" s="1" t="str">
        <f>IFERROR(SMALL(Recipes[Selected], ROW() - ROW(Recipes[#Headers])), "")</f>
        <v/>
      </c>
      <c r="W48" s="1" t="str">
        <f>IFERROR(INDEX(Recipes[Name], Recipes[[#This Row],[Selected Sorted]]), "")</f>
        <v/>
      </c>
      <c r="X48" s="1" t="str">
        <f>IFERROR(INDEX(Recipes[Component], Recipes[[#This Row],[Selected Sorted]]), "")</f>
        <v/>
      </c>
      <c r="Y48" s="1" t="str">
        <f>IFERROR(INDEX(Recipes[Quantity], Recipes[[#This Row],[Selected Sorted]]), "")</f>
        <v/>
      </c>
      <c r="AA48" t="s">
        <v>151</v>
      </c>
      <c r="AB48" t="s">
        <v>1</v>
      </c>
      <c r="AC48">
        <v>2</v>
      </c>
      <c r="AD48" s="1" t="str">
        <f>IFERROR(IF(INDEX(Items[Selected Count], MATCH(Recipes2[[#This Row],[Name]], Items[Name], 0)) &gt; 0, ROW() - ROW(Recipes2[#Headers]), ""), "")</f>
        <v/>
      </c>
      <c r="AE48" s="1" t="str">
        <f>IFERROR(SMALL(Recipes2[Selected], ROW() - ROW(Recipes2[#Headers])), "")</f>
        <v/>
      </c>
      <c r="AF48" s="1" t="str">
        <f>IFERROR(INDEX(Recipes2[Name], Recipes2[[#This Row],[Selected Sorted]]), "")</f>
        <v/>
      </c>
      <c r="AG48" s="1" t="str">
        <f>IFERROR(INDEX(Recipes2[Component], Recipes2[[#This Row],[Selected Sorted]]), "")</f>
        <v/>
      </c>
      <c r="AH48" s="1" t="str">
        <f>IFERROR(INDEX(Recipes2[Quantity], Recipes2[[#This Row],[Selected Sorted]]), "")</f>
        <v/>
      </c>
    </row>
    <row r="49" spans="1:34" x14ac:dyDescent="0.25">
      <c r="A49" t="s">
        <v>167</v>
      </c>
      <c r="B49">
        <v>0.25</v>
      </c>
      <c r="C49" s="1">
        <f>MAX(Items[[#This Row],[Base Cycle Time]] / Items[[#This Row],[Speed]], MinInsertionTime) / Items[[#This Row],[Quantity Per Cycle]] / Items[[#This Row],[Bonus]]</f>
        <v>0.02</v>
      </c>
      <c r="D49" s="39">
        <v>10</v>
      </c>
      <c r="E49" t="s">
        <v>59</v>
      </c>
      <c r="F49" s="38">
        <f>INDEX(CraftingTypes[Speed], MATCH(Items[[#This Row],[Producer Type]], CraftingTypes[Producer Type], 0))</f>
        <v>1.25</v>
      </c>
      <c r="G49" s="38">
        <f>INDEX(CraftingTypes[Bonus], MATCH(Items[[#This Row],[Producer Type]], CraftingTypes[Producer Type], 0)) + 1</f>
        <v>1</v>
      </c>
      <c r="H49" s="38">
        <f>1 / Items[[#This Row],[Cycle Time for One]]</f>
        <v>50</v>
      </c>
      <c r="I49" s="36" t="b">
        <f>IFERROR(OR(Items[[#This Row],[Name]] = SelectedName, INDEX(CraftingTypes[Include], MATCH(Items[[#This Row],[Producer Type]], CraftingTypes[Producer Type], 0))), FALSE)</f>
        <v>1</v>
      </c>
      <c r="J49" s="38">
        <f>IF(Items[[#This Row],[Name]] = SelectedName, 1, IF(NOT(Items[[#This Row],[Include]]), 0, SUMIFS(RecipeTotals.Quantity, RecipeTotals.Name, SelectedName, RecipeTotals.Component, Items[[#This Row],[Name]])))</f>
        <v>0</v>
      </c>
      <c r="K49" s="38">
        <f>IFERROR(Items[[#This Row],[Selected Count]] / CycleTime.Actual, "")</f>
        <v>0</v>
      </c>
      <c r="L49" s="38">
        <f>IFERROR(Items[[#This Row],[Selected Per Second]] / Items[[#This Row],[Per Second]], "")</f>
        <v>0</v>
      </c>
      <c r="M49" s="38">
        <f>IFERROR(Items[[#This Row],[Selected Per Second]] / Items[[#This Row],[Per Second]], "")</f>
        <v>0</v>
      </c>
      <c r="N49" s="38">
        <f>IFERROR(CEILING(Items[[#This Row],[Fractional Producers for Selected Count]], 1), 0)</f>
        <v>0</v>
      </c>
      <c r="O49" s="38" t="str">
        <f>IF(AND(Items[[#This Row],[Producers For Selected Count]] &gt; 0, Items[[#This Row],[Include]]), ROW() - ROW(Items[#Headers]), "")</f>
        <v/>
      </c>
      <c r="P49" s="38" t="str">
        <f>IFERROR(SMALL(Items[Include Row Index], ROW() - ROW(Items[#Headers])), "")</f>
        <v/>
      </c>
      <c r="R49" t="s">
        <v>146</v>
      </c>
      <c r="S49" t="s">
        <v>63</v>
      </c>
      <c r="T49">
        <v>100</v>
      </c>
      <c r="U49" s="1" t="str">
        <f>IFERROR(IF(INDEX(Items[Selected Count], MATCH(Recipes[[#This Row],[Name]], Items[Name], 0)) &gt; 0, ROW() - ROW(Recipes[#Headers]), ""), "")</f>
        <v/>
      </c>
      <c r="V49" s="1" t="str">
        <f>IFERROR(SMALL(Recipes[Selected], ROW() - ROW(Recipes[#Headers])), "")</f>
        <v/>
      </c>
      <c r="W49" s="1" t="str">
        <f>IFERROR(INDEX(Recipes[Name], Recipes[[#This Row],[Selected Sorted]]), "")</f>
        <v/>
      </c>
      <c r="X49" s="1" t="str">
        <f>IFERROR(INDEX(Recipes[Component], Recipes[[#This Row],[Selected Sorted]]), "")</f>
        <v/>
      </c>
      <c r="Y49" s="1" t="str">
        <f>IFERROR(INDEX(Recipes[Quantity], Recipes[[#This Row],[Selected Sorted]]), "")</f>
        <v/>
      </c>
      <c r="AA49" t="s">
        <v>4</v>
      </c>
      <c r="AB49" t="s">
        <v>86</v>
      </c>
      <c r="AC49">
        <v>1</v>
      </c>
      <c r="AD49" s="1">
        <f>IFERROR(IF(INDEX(Items[Selected Count], MATCH(Recipes2[[#This Row],[Name]], Items[Name], 0)) &gt; 0, ROW() - ROW(Recipes2[#Headers]), ""), "")</f>
        <v>48</v>
      </c>
      <c r="AE49" s="1" t="str">
        <f>IFERROR(SMALL(Recipes2[Selected], ROW() - ROW(Recipes2[#Headers])), "")</f>
        <v/>
      </c>
      <c r="AF49" s="1" t="str">
        <f>IFERROR(INDEX(Recipes2[Name], Recipes2[[#This Row],[Selected Sorted]]), "")</f>
        <v/>
      </c>
      <c r="AG49" s="1" t="str">
        <f>IFERROR(INDEX(Recipes2[Component], Recipes2[[#This Row],[Selected Sorted]]), "")</f>
        <v/>
      </c>
      <c r="AH49" s="1" t="str">
        <f>IFERROR(INDEX(Recipes2[Quantity], Recipes2[[#This Row],[Selected Sorted]]), "")</f>
        <v/>
      </c>
    </row>
    <row r="50" spans="1:34" x14ac:dyDescent="0.25">
      <c r="A50" t="s">
        <v>147</v>
      </c>
      <c r="B50">
        <v>0.5</v>
      </c>
      <c r="C50" s="1">
        <f>MAX(Items[[#This Row],[Base Cycle Time]] / Items[[#This Row],[Speed]], MinInsertionTime) / Items[[#This Row],[Quantity Per Cycle]] / Items[[#This Row],[Bonus]]</f>
        <v>0.4</v>
      </c>
      <c r="D50" s="39">
        <v>1</v>
      </c>
      <c r="E50" t="s">
        <v>59</v>
      </c>
      <c r="F50" s="38">
        <f>INDEX(CraftingTypes[Speed], MATCH(Items[[#This Row],[Producer Type]], CraftingTypes[Producer Type], 0))</f>
        <v>1.25</v>
      </c>
      <c r="G50" s="38">
        <f>INDEX(CraftingTypes[Bonus], MATCH(Items[[#This Row],[Producer Type]], CraftingTypes[Producer Type], 0)) + 1</f>
        <v>1</v>
      </c>
      <c r="H50" s="38">
        <f>1 / Items[[#This Row],[Cycle Time for One]]</f>
        <v>2.5</v>
      </c>
      <c r="I50" s="36" t="b">
        <f>IFERROR(OR(Items[[#This Row],[Name]] = SelectedName, INDEX(CraftingTypes[Include], MATCH(Items[[#This Row],[Producer Type]], CraftingTypes[Producer Type], 0))), FALSE)</f>
        <v>1</v>
      </c>
      <c r="J50" s="38">
        <f>IF(Items[[#This Row],[Name]] = SelectedName, 1, IF(NOT(Items[[#This Row],[Include]]), 0, SUMIFS(RecipeTotals.Quantity, RecipeTotals.Name, SelectedName, RecipeTotals.Component, Items[[#This Row],[Name]])))</f>
        <v>0</v>
      </c>
      <c r="K50" s="38">
        <f>IFERROR(Items[[#This Row],[Selected Count]] / CycleTime.Actual, "")</f>
        <v>0</v>
      </c>
      <c r="L50" s="38">
        <f>IFERROR(Items[[#This Row],[Selected Per Second]] / Items[[#This Row],[Per Second]], "")</f>
        <v>0</v>
      </c>
      <c r="M50" s="38">
        <f>IFERROR(Items[[#This Row],[Selected Per Second]] / Items[[#This Row],[Per Second]], "")</f>
        <v>0</v>
      </c>
      <c r="N50" s="38">
        <f>IFERROR(CEILING(Items[[#This Row],[Fractional Producers for Selected Count]], 1), 0)</f>
        <v>0</v>
      </c>
      <c r="O50" s="38" t="str">
        <f>IF(AND(Items[[#This Row],[Producers For Selected Count]] &gt; 0, Items[[#This Row],[Include]]), ROW() - ROW(Items[#Headers]), "")</f>
        <v/>
      </c>
      <c r="P50" s="38" t="str">
        <f>IFERROR(SMALL(Items[Include Row Index], ROW() - ROW(Items[#Headers])), "")</f>
        <v/>
      </c>
      <c r="R50" t="s">
        <v>56</v>
      </c>
      <c r="S50" t="s">
        <v>5</v>
      </c>
      <c r="T50">
        <v>2</v>
      </c>
      <c r="U50" t="str">
        <f>IFERROR(IF(INDEX(Items[Selected Count], MATCH(Recipes[[#This Row],[Name]], Items[Name], 0)) &gt; 0, ROW() - ROW(Recipes[#Headers]), ""), "")</f>
        <v/>
      </c>
      <c r="V50" t="str">
        <f>IFERROR(SMALL(Recipes[Selected], ROW() - ROW(Recipes[#Headers])), "")</f>
        <v/>
      </c>
      <c r="W50" t="str">
        <f>IFERROR(INDEX(Recipes[Name], Recipes[[#This Row],[Selected Sorted]]), "")</f>
        <v/>
      </c>
      <c r="X50" t="str">
        <f>IFERROR(INDEX(Recipes[Component], Recipes[[#This Row],[Selected Sorted]]), "")</f>
        <v/>
      </c>
      <c r="Y50" s="1" t="str">
        <f>IFERROR(INDEX(Recipes[Quantity], Recipes[[#This Row],[Selected Sorted]]), "")</f>
        <v/>
      </c>
      <c r="AA50" t="s">
        <v>52</v>
      </c>
      <c r="AB50" t="s">
        <v>4</v>
      </c>
      <c r="AC50">
        <v>1</v>
      </c>
      <c r="AD50" s="1" t="str">
        <f>IFERROR(IF(INDEX(Items[Selected Count], MATCH(Recipes2[[#This Row],[Name]], Items[Name], 0)) &gt; 0, ROW() - ROW(Recipes2[#Headers]), ""), "")</f>
        <v/>
      </c>
      <c r="AE50" s="1" t="str">
        <f>IFERROR(SMALL(Recipes2[Selected], ROW() - ROW(Recipes2[#Headers])), "")</f>
        <v/>
      </c>
      <c r="AF50" s="1" t="str">
        <f>IFERROR(INDEX(Recipes2[Name], Recipes2[[#This Row],[Selected Sorted]]), "")</f>
        <v/>
      </c>
      <c r="AG50" s="1" t="str">
        <f>IFERROR(INDEX(Recipes2[Component], Recipes2[[#This Row],[Selected Sorted]]), "")</f>
        <v/>
      </c>
      <c r="AH50" s="1" t="str">
        <f>IFERROR(INDEX(Recipes2[Quantity], Recipes2[[#This Row],[Selected Sorted]]), "")</f>
        <v/>
      </c>
    </row>
    <row r="51" spans="1:34" x14ac:dyDescent="0.25">
      <c r="A51" t="s">
        <v>148</v>
      </c>
      <c r="B51">
        <v>0.5</v>
      </c>
      <c r="C51" s="1">
        <f>MAX(Items[[#This Row],[Base Cycle Time]] / Items[[#This Row],[Speed]], MinInsertionTime) / Items[[#This Row],[Quantity Per Cycle]] / Items[[#This Row],[Bonus]]</f>
        <v>0.4</v>
      </c>
      <c r="D51" s="39">
        <v>1</v>
      </c>
      <c r="E51" t="s">
        <v>59</v>
      </c>
      <c r="F51" s="38">
        <f>INDEX(CraftingTypes[Speed], MATCH(Items[[#This Row],[Producer Type]], CraftingTypes[Producer Type], 0))</f>
        <v>1.25</v>
      </c>
      <c r="G51" s="38">
        <f>INDEX(CraftingTypes[Bonus], MATCH(Items[[#This Row],[Producer Type]], CraftingTypes[Producer Type], 0)) + 1</f>
        <v>1</v>
      </c>
      <c r="H51" s="38">
        <f>1 / Items[[#This Row],[Cycle Time for One]]</f>
        <v>2.5</v>
      </c>
      <c r="I51" s="36" t="b">
        <f>IFERROR(OR(Items[[#This Row],[Name]] = SelectedName, INDEX(CraftingTypes[Include], MATCH(Items[[#This Row],[Producer Type]], CraftingTypes[Producer Type], 0))), FALSE)</f>
        <v>1</v>
      </c>
      <c r="J51" s="38">
        <f>IF(Items[[#This Row],[Name]] = SelectedName, 1, IF(NOT(Items[[#This Row],[Include]]), 0, SUMIFS(RecipeTotals.Quantity, RecipeTotals.Name, SelectedName, RecipeTotals.Component, Items[[#This Row],[Name]])))</f>
        <v>0</v>
      </c>
      <c r="K51" s="38">
        <f>IFERROR(Items[[#This Row],[Selected Count]] / CycleTime.Actual, "")</f>
        <v>0</v>
      </c>
      <c r="L51" s="38">
        <f>IFERROR(Items[[#This Row],[Selected Per Second]] / Items[[#This Row],[Per Second]], "")</f>
        <v>0</v>
      </c>
      <c r="M51" s="38">
        <f>IFERROR(Items[[#This Row],[Selected Per Second]] / Items[[#This Row],[Per Second]], "")</f>
        <v>0</v>
      </c>
      <c r="N51" s="38">
        <f>IFERROR(CEILING(Items[[#This Row],[Fractional Producers for Selected Count]], 1), 0)</f>
        <v>0</v>
      </c>
      <c r="O51" s="38" t="str">
        <f>IF(AND(Items[[#This Row],[Producers For Selected Count]] &gt; 0, Items[[#This Row],[Include]]), ROW() - ROW(Items[#Headers]), "")</f>
        <v/>
      </c>
      <c r="P51" s="38" t="str">
        <f>IFERROR(SMALL(Items[Include Row Index], ROW() - ROW(Items[#Headers])), "")</f>
        <v/>
      </c>
      <c r="R51" t="s">
        <v>56</v>
      </c>
      <c r="S51" t="s">
        <v>55</v>
      </c>
      <c r="T51">
        <v>1</v>
      </c>
      <c r="U51" t="str">
        <f>IFERROR(IF(INDEX(Items[Selected Count], MATCH(Recipes[[#This Row],[Name]], Items[Name], 0)) &gt; 0, ROW() - ROW(Recipes[#Headers]), ""), "")</f>
        <v/>
      </c>
      <c r="V51" t="str">
        <f>IFERROR(SMALL(Recipes[Selected], ROW() - ROW(Recipes[#Headers])), "")</f>
        <v/>
      </c>
      <c r="W51" t="str">
        <f>IFERROR(INDEX(Recipes[Name], Recipes[[#This Row],[Selected Sorted]]), "")</f>
        <v/>
      </c>
      <c r="X51" t="str">
        <f>IFERROR(INDEX(Recipes[Component], Recipes[[#This Row],[Selected Sorted]]), "")</f>
        <v/>
      </c>
      <c r="Y51" s="1" t="str">
        <f>IFERROR(INDEX(Recipes[Quantity], Recipes[[#This Row],[Selected Sorted]]), "")</f>
        <v/>
      </c>
      <c r="AA51" t="s">
        <v>40</v>
      </c>
      <c r="AB51" t="s">
        <v>4</v>
      </c>
      <c r="AC51">
        <v>5</v>
      </c>
      <c r="AD51" t="str">
        <f>IFERROR(IF(INDEX(Items[Selected Count], MATCH(Recipes2[[#This Row],[Name]], Items[Name], 0)) &gt; 0, ROW() - ROW(Recipes2[#Headers]), ""), "")</f>
        <v/>
      </c>
      <c r="AE51" t="str">
        <f>IFERROR(SMALL(Recipes2[Selected], ROW() - ROW(Recipes2[#Headers])), "")</f>
        <v/>
      </c>
      <c r="AF51" t="str">
        <f>IFERROR(INDEX(Recipes2[Name], Recipes2[[#This Row],[Selected Sorted]]), "")</f>
        <v/>
      </c>
      <c r="AG51" t="str">
        <f>IFERROR(INDEX(Recipes2[Component], Recipes2[[#This Row],[Selected Sorted]]), "")</f>
        <v/>
      </c>
      <c r="AH51" s="1" t="str">
        <f>IFERROR(INDEX(Recipes2[Quantity], Recipes2[[#This Row],[Selected Sorted]]), "")</f>
        <v/>
      </c>
    </row>
    <row r="52" spans="1:34" x14ac:dyDescent="0.25">
      <c r="A52" t="s">
        <v>81</v>
      </c>
      <c r="B52">
        <v>14</v>
      </c>
      <c r="C52">
        <f>MAX(Items[[#This Row],[Base Cycle Time]] / Items[[#This Row],[Speed]], MinInsertionTime) / Items[[#This Row],[Quantity Per Cycle]] / Items[[#This Row],[Bonus]]</f>
        <v>5.6</v>
      </c>
      <c r="D52" s="39">
        <v>2</v>
      </c>
      <c r="E52" t="s">
        <v>59</v>
      </c>
      <c r="F52" s="39">
        <f>INDEX(CraftingTypes[Speed], MATCH(Items[[#This Row],[Producer Type]], CraftingTypes[Producer Type], 0))</f>
        <v>1.25</v>
      </c>
      <c r="G52" s="39">
        <f>INDEX(CraftingTypes[Bonus], MATCH(Items[[#This Row],[Producer Type]], CraftingTypes[Producer Type], 0)) + 1</f>
        <v>1</v>
      </c>
      <c r="H52" s="38">
        <f>1 / Items[[#This Row],[Cycle Time for One]]</f>
        <v>0.17857142857142858</v>
      </c>
      <c r="I52" s="36" t="b">
        <f>IFERROR(OR(Items[[#This Row],[Name]] = SelectedName, INDEX(CraftingTypes[Include], MATCH(Items[[#This Row],[Producer Type]], CraftingTypes[Producer Type], 0))), FALSE)</f>
        <v>1</v>
      </c>
      <c r="J52" s="38">
        <f>IF(Items[[#This Row],[Name]] = SelectedName, 1, IF(NOT(Items[[#This Row],[Include]]), 0, SUMIFS(RecipeTotals.Quantity, RecipeTotals.Name, SelectedName, RecipeTotals.Component, Items[[#This Row],[Name]])))</f>
        <v>0</v>
      </c>
      <c r="K52" s="38">
        <f>IFERROR(Items[[#This Row],[Selected Count]] / CycleTime.Actual, "")</f>
        <v>0</v>
      </c>
      <c r="L52" s="38">
        <f>IFERROR(Items[[#This Row],[Selected Per Second]] / Items[[#This Row],[Per Second]], "")</f>
        <v>0</v>
      </c>
      <c r="M52" s="38">
        <f>IFERROR(Items[[#This Row],[Selected Per Second]] / Items[[#This Row],[Per Second]], "")</f>
        <v>0</v>
      </c>
      <c r="N52" s="38">
        <f>IFERROR(CEILING(Items[[#This Row],[Fractional Producers for Selected Count]], 1), 0)</f>
        <v>0</v>
      </c>
      <c r="O52" s="38" t="str">
        <f>IF(AND(Items[[#This Row],[Producers For Selected Count]] &gt; 0, Items[[#This Row],[Include]]), ROW() - ROW(Items[#Headers]), "")</f>
        <v/>
      </c>
      <c r="P52" s="38" t="str">
        <f>IFERROR(SMALL(Items[Include Row Index], ROW() - ROW(Items[#Headers])), "")</f>
        <v/>
      </c>
      <c r="R52" t="s">
        <v>1</v>
      </c>
      <c r="S52" t="s">
        <v>4</v>
      </c>
      <c r="T52">
        <v>1</v>
      </c>
      <c r="U52">
        <f>IFERROR(IF(INDEX(Items[Selected Count], MATCH(Recipes[[#This Row],[Name]], Items[Name], 0)) &gt; 0, ROW() - ROW(Recipes[#Headers]), ""), "")</f>
        <v>51</v>
      </c>
      <c r="V52" t="str">
        <f>IFERROR(SMALL(Recipes[Selected], ROW() - ROW(Recipes[#Headers])), "")</f>
        <v/>
      </c>
      <c r="W52" t="str">
        <f>IFERROR(INDEX(Recipes[Name], Recipes[[#This Row],[Selected Sorted]]), "")</f>
        <v/>
      </c>
      <c r="X52" t="str">
        <f>IFERROR(INDEX(Recipes[Component], Recipes[[#This Row],[Selected Sorted]]), "")</f>
        <v/>
      </c>
      <c r="Y52" s="1" t="str">
        <f>IFERROR(INDEX(Recipes[Quantity], Recipes[[#This Row],[Selected Sorted]]), "")</f>
        <v/>
      </c>
      <c r="AA52" t="s">
        <v>1</v>
      </c>
      <c r="AB52" t="s">
        <v>4</v>
      </c>
      <c r="AC52">
        <v>1</v>
      </c>
      <c r="AD52">
        <f>IFERROR(IF(INDEX(Items[Selected Count], MATCH(Recipes2[[#This Row],[Name]], Items[Name], 0)) &gt; 0, ROW() - ROW(Recipes2[#Headers]), ""), "")</f>
        <v>51</v>
      </c>
      <c r="AE52" t="str">
        <f>IFERROR(SMALL(Recipes2[Selected], ROW() - ROW(Recipes2[#Headers])), "")</f>
        <v/>
      </c>
      <c r="AF52" t="str">
        <f>IFERROR(INDEX(Recipes2[Name], Recipes2[[#This Row],[Selected Sorted]]), "")</f>
        <v/>
      </c>
      <c r="AG52" t="str">
        <f>IFERROR(INDEX(Recipes2[Component], Recipes2[[#This Row],[Selected Sorted]]), "")</f>
        <v/>
      </c>
      <c r="AH52" s="1" t="str">
        <f>IFERROR(INDEX(Recipes2[Quantity], Recipes2[[#This Row],[Selected Sorted]]), "")</f>
        <v/>
      </c>
    </row>
    <row r="53" spans="1:34" x14ac:dyDescent="0.25">
      <c r="A53" t="s">
        <v>42</v>
      </c>
      <c r="B53">
        <v>0.5</v>
      </c>
      <c r="C53">
        <f>MAX(Items[[#This Row],[Base Cycle Time]] / Items[[#This Row],[Speed]], MinInsertionTime) / Items[[#This Row],[Quantity Per Cycle]] / Items[[#This Row],[Bonus]]</f>
        <v>0.4</v>
      </c>
      <c r="D53" s="39">
        <v>1</v>
      </c>
      <c r="E53" t="s">
        <v>59</v>
      </c>
      <c r="F53" s="39">
        <f>INDEX(CraftingTypes[Speed], MATCH(Items[[#This Row],[Producer Type]], CraftingTypes[Producer Type], 0))</f>
        <v>1.25</v>
      </c>
      <c r="G53" s="39">
        <f>INDEX(CraftingTypes[Bonus], MATCH(Items[[#This Row],[Producer Type]], CraftingTypes[Producer Type], 0)) + 1</f>
        <v>1</v>
      </c>
      <c r="H53" s="38">
        <f>1 / Items[[#This Row],[Cycle Time for One]]</f>
        <v>2.5</v>
      </c>
      <c r="I53" s="36" t="b">
        <f>IFERROR(OR(Items[[#This Row],[Name]] = SelectedName, INDEX(CraftingTypes[Include], MATCH(Items[[#This Row],[Producer Type]], CraftingTypes[Producer Type], 0))), FALSE)</f>
        <v>1</v>
      </c>
      <c r="J53" s="38">
        <f>IF(Items[[#This Row],[Name]] = SelectedName, 1, IF(NOT(Items[[#This Row],[Include]]), 0, SUMIFS(RecipeTotals.Quantity, RecipeTotals.Name, SelectedName, RecipeTotals.Component, Items[[#This Row],[Name]])))</f>
        <v>0</v>
      </c>
      <c r="K53" s="38">
        <f>IFERROR(Items[[#This Row],[Selected Count]] / CycleTime.Actual, "")</f>
        <v>0</v>
      </c>
      <c r="L53" s="38">
        <f>IFERROR(Items[[#This Row],[Selected Per Second]] / Items[[#This Row],[Per Second]], "")</f>
        <v>0</v>
      </c>
      <c r="M53" s="38">
        <f>IFERROR(Items[[#This Row],[Selected Per Second]] / Items[[#This Row],[Per Second]], "")</f>
        <v>0</v>
      </c>
      <c r="N53" s="38">
        <f>IFERROR(CEILING(Items[[#This Row],[Fractional Producers for Selected Count]], 1), 0)</f>
        <v>0</v>
      </c>
      <c r="O53" s="38" t="str">
        <f>IF(AND(Items[[#This Row],[Producers For Selected Count]] &gt; 0, Items[[#This Row],[Include]]), ROW() - ROW(Items[#Headers]), "")</f>
        <v/>
      </c>
      <c r="P53" s="38" t="str">
        <f>IFERROR(SMALL(Items[Include Row Index], ROW() - ROW(Items[#Headers])), "")</f>
        <v/>
      </c>
      <c r="R53" t="s">
        <v>4</v>
      </c>
      <c r="S53" t="s">
        <v>86</v>
      </c>
      <c r="T53">
        <v>1</v>
      </c>
      <c r="U53" s="1">
        <f>IFERROR(IF(INDEX(Items[Selected Count], MATCH(Recipes[[#This Row],[Name]], Items[Name], 0)) &gt; 0, ROW() - ROW(Recipes[#Headers]), ""), "")</f>
        <v>52</v>
      </c>
      <c r="V53" s="1" t="str">
        <f>IFERROR(SMALL(Recipes[Selected], ROW() - ROW(Recipes[#Headers])), "")</f>
        <v/>
      </c>
      <c r="W53" s="1" t="str">
        <f>IFERROR(INDEX(Recipes[Name], Recipes[[#This Row],[Selected Sorted]]), "")</f>
        <v/>
      </c>
      <c r="X53" s="1" t="str">
        <f>IFERROR(INDEX(Recipes[Component], Recipes[[#This Row],[Selected Sorted]]), "")</f>
        <v/>
      </c>
      <c r="Y53" s="1" t="str">
        <f>IFERROR(INDEX(Recipes[Quantity], Recipes[[#This Row],[Selected Sorted]]), "")</f>
        <v/>
      </c>
      <c r="AA53" t="s">
        <v>36</v>
      </c>
      <c r="AB53" t="s">
        <v>4</v>
      </c>
      <c r="AC53">
        <v>10</v>
      </c>
      <c r="AD53" t="str">
        <f>IFERROR(IF(INDEX(Items[Selected Count], MATCH(Recipes2[[#This Row],[Name]], Items[Name], 0)) &gt; 0, ROW() - ROW(Recipes2[#Headers]), ""), "")</f>
        <v/>
      </c>
      <c r="AE53" t="str">
        <f>IFERROR(SMALL(Recipes2[Selected], ROW() - ROW(Recipes2[#Headers])), "")</f>
        <v/>
      </c>
      <c r="AF53" t="str">
        <f>IFERROR(INDEX(Recipes2[Name], Recipes2[[#This Row],[Selected Sorted]]), "")</f>
        <v/>
      </c>
      <c r="AG53" t="str">
        <f>IFERROR(INDEX(Recipes2[Component], Recipes2[[#This Row],[Selected Sorted]]), "")</f>
        <v/>
      </c>
      <c r="AH53" s="1" t="str">
        <f>IFERROR(INDEX(Recipes2[Quantity], Recipes2[[#This Row],[Selected Sorted]]), "")</f>
        <v/>
      </c>
    </row>
    <row r="54" spans="1:34" x14ac:dyDescent="0.25">
      <c r="A54" t="s">
        <v>140</v>
      </c>
      <c r="B54">
        <v>0.5</v>
      </c>
      <c r="C54" s="1">
        <f>MAX(Items[[#This Row],[Base Cycle Time]] / Items[[#This Row],[Speed]], MinInsertionTime) / Items[[#This Row],[Quantity Per Cycle]] / Items[[#This Row],[Bonus]]</f>
        <v>0.4</v>
      </c>
      <c r="D54" s="39">
        <v>1</v>
      </c>
      <c r="E54" t="s">
        <v>59</v>
      </c>
      <c r="F54" s="38">
        <f>INDEX(CraftingTypes[Speed], MATCH(Items[[#This Row],[Producer Type]], CraftingTypes[Producer Type], 0))</f>
        <v>1.25</v>
      </c>
      <c r="G54" s="38">
        <f>INDEX(CraftingTypes[Bonus], MATCH(Items[[#This Row],[Producer Type]], CraftingTypes[Producer Type], 0)) + 1</f>
        <v>1</v>
      </c>
      <c r="H54" s="38">
        <f>1 / Items[[#This Row],[Cycle Time for One]]</f>
        <v>2.5</v>
      </c>
      <c r="I54" s="36" t="b">
        <f>IFERROR(OR(Items[[#This Row],[Name]] = SelectedName, INDEX(CraftingTypes[Include], MATCH(Items[[#This Row],[Producer Type]], CraftingTypes[Producer Type], 0))), FALSE)</f>
        <v>1</v>
      </c>
      <c r="J54" s="38">
        <f>IF(Items[[#This Row],[Name]] = SelectedName, 1, IF(NOT(Items[[#This Row],[Include]]), 0, SUMIFS(RecipeTotals.Quantity, RecipeTotals.Name, SelectedName, RecipeTotals.Component, Items[[#This Row],[Name]])))</f>
        <v>0</v>
      </c>
      <c r="K54" s="38">
        <f>IFERROR(Items[[#This Row],[Selected Count]] / CycleTime.Actual, "")</f>
        <v>0</v>
      </c>
      <c r="L54" s="38">
        <f>IFERROR(Items[[#This Row],[Selected Per Second]] / Items[[#This Row],[Per Second]], "")</f>
        <v>0</v>
      </c>
      <c r="M54" s="38">
        <f>IFERROR(Items[[#This Row],[Selected Per Second]] / Items[[#This Row],[Per Second]], "")</f>
        <v>0</v>
      </c>
      <c r="N54" s="38">
        <f>IFERROR(CEILING(Items[[#This Row],[Fractional Producers for Selected Count]], 1), 0)</f>
        <v>0</v>
      </c>
      <c r="O54" s="38" t="str">
        <f>IF(AND(Items[[#This Row],[Producers For Selected Count]] &gt; 0, Items[[#This Row],[Include]]), ROW() - ROW(Items[#Headers]), "")</f>
        <v/>
      </c>
      <c r="P54" s="38" t="str">
        <f>IFERROR(SMALL(Items[Include Row Index], ROW() - ROW(Items[#Headers])), "")</f>
        <v/>
      </c>
      <c r="R54" t="s">
        <v>122</v>
      </c>
      <c r="S54" t="s">
        <v>5</v>
      </c>
      <c r="T54">
        <v>2</v>
      </c>
      <c r="U54" s="1" t="str">
        <f>IFERROR(IF(INDEX(Items[Selected Count], MATCH(Recipes[[#This Row],[Name]], Items[Name], 0)) &gt; 0, ROW() - ROW(Recipes[#Headers]), ""), "")</f>
        <v/>
      </c>
      <c r="V54" s="1" t="str">
        <f>IFERROR(SMALL(Recipes[Selected], ROW() - ROW(Recipes[#Headers])), "")</f>
        <v/>
      </c>
      <c r="W54" s="1" t="str">
        <f>IFERROR(INDEX(Recipes[Name], Recipes[[#This Row],[Selected Sorted]]), "")</f>
        <v/>
      </c>
      <c r="X54" s="1" t="str">
        <f>IFERROR(INDEX(Recipes[Component], Recipes[[#This Row],[Selected Sorted]]), "")</f>
        <v/>
      </c>
      <c r="Y54" s="1" t="str">
        <f>IFERROR(INDEX(Recipes[Quantity], Recipes[[#This Row],[Selected Sorted]]), "")</f>
        <v/>
      </c>
      <c r="AA54" t="s">
        <v>147</v>
      </c>
      <c r="AB54" t="s">
        <v>4</v>
      </c>
      <c r="AC54">
        <v>100</v>
      </c>
      <c r="AD54" s="1" t="str">
        <f>IFERROR(IF(INDEX(Items[Selected Count], MATCH(Recipes2[[#This Row],[Name]], Items[Name], 0)) &gt; 0, ROW() - ROW(Recipes2[#Headers]), ""), "")</f>
        <v/>
      </c>
      <c r="AE54" s="1" t="str">
        <f>IFERROR(SMALL(Recipes2[Selected], ROW() - ROW(Recipes2[#Headers])), "")</f>
        <v/>
      </c>
      <c r="AF54" s="1" t="str">
        <f>IFERROR(INDEX(Recipes2[Name], Recipes2[[#This Row],[Selected Sorted]]), "")</f>
        <v/>
      </c>
      <c r="AG54" s="1" t="str">
        <f>IFERROR(INDEX(Recipes2[Component], Recipes2[[#This Row],[Selected Sorted]]), "")</f>
        <v/>
      </c>
      <c r="AH54" s="1" t="str">
        <f>IFERROR(INDEX(Recipes2[Quantity], Recipes2[[#This Row],[Selected Sorted]]), "")</f>
        <v/>
      </c>
    </row>
    <row r="55" spans="1:34" x14ac:dyDescent="0.25">
      <c r="A55" t="s">
        <v>106</v>
      </c>
      <c r="B55">
        <v>0.5</v>
      </c>
      <c r="C55">
        <f>MAX(Items[[#This Row],[Base Cycle Time]] / Items[[#This Row],[Speed]], MinInsertionTime) / Items[[#This Row],[Quantity Per Cycle]] / Items[[#This Row],[Bonus]]</f>
        <v>0.4</v>
      </c>
      <c r="D55" s="39">
        <v>1</v>
      </c>
      <c r="E55" t="s">
        <v>59</v>
      </c>
      <c r="F55" s="38">
        <f>INDEX(CraftingTypes[Speed], MATCH(Items[[#This Row],[Producer Type]], CraftingTypes[Producer Type], 0))</f>
        <v>1.25</v>
      </c>
      <c r="G55" s="38">
        <f>INDEX(CraftingTypes[Bonus], MATCH(Items[[#This Row],[Producer Type]], CraftingTypes[Producer Type], 0)) + 1</f>
        <v>1</v>
      </c>
      <c r="H55" s="38">
        <f>1 / Items[[#This Row],[Cycle Time for One]]</f>
        <v>2.5</v>
      </c>
      <c r="I55" s="36" t="b">
        <f>IFERROR(OR(Items[[#This Row],[Name]] = SelectedName, INDEX(CraftingTypes[Include], MATCH(Items[[#This Row],[Producer Type]], CraftingTypes[Producer Type], 0))), FALSE)</f>
        <v>1</v>
      </c>
      <c r="J55" s="38">
        <f>IF(Items[[#This Row],[Name]] = SelectedName, 1, IF(NOT(Items[[#This Row],[Include]]), 0, SUMIFS(RecipeTotals.Quantity, RecipeTotals.Name, SelectedName, RecipeTotals.Component, Items[[#This Row],[Name]])))</f>
        <v>0</v>
      </c>
      <c r="K55" s="38">
        <f>IFERROR(Items[[#This Row],[Selected Count]] / CycleTime.Actual, "")</f>
        <v>0</v>
      </c>
      <c r="L55" s="38">
        <f>IFERROR(Items[[#This Row],[Selected Per Second]] / Items[[#This Row],[Per Second]], "")</f>
        <v>0</v>
      </c>
      <c r="M55" s="38">
        <f>IFERROR(Items[[#This Row],[Selected Per Second]] / Items[[#This Row],[Per Second]], "")</f>
        <v>0</v>
      </c>
      <c r="N55" s="38">
        <f>IFERROR(CEILING(Items[[#This Row],[Fractional Producers for Selected Count]], 1), 0)</f>
        <v>0</v>
      </c>
      <c r="O55" s="38" t="str">
        <f>IF(AND(Items[[#This Row],[Producers For Selected Count]] &gt; 0, Items[[#This Row],[Include]]), ROW() - ROW(Items[#Headers]), "")</f>
        <v/>
      </c>
      <c r="P55" s="38" t="str">
        <f>IFERROR(SMALL(Items[Include Row Index], ROW() - ROW(Items[#Headers])), "")</f>
        <v/>
      </c>
      <c r="R55" t="s">
        <v>122</v>
      </c>
      <c r="S55" t="s">
        <v>8</v>
      </c>
      <c r="T55">
        <v>3</v>
      </c>
      <c r="U55" s="1" t="str">
        <f>IFERROR(IF(INDEX(Items[Selected Count], MATCH(Recipes[[#This Row],[Name]], Items[Name], 0)) &gt; 0, ROW() - ROW(Recipes[#Headers]), ""), "")</f>
        <v/>
      </c>
      <c r="V55" s="1" t="str">
        <f>IFERROR(SMALL(Recipes[Selected], ROW() - ROW(Recipes[#Headers])), "")</f>
        <v/>
      </c>
      <c r="W55" s="1" t="str">
        <f>IFERROR(INDEX(Recipes[Name], Recipes[[#This Row],[Selected Sorted]]), "")</f>
        <v/>
      </c>
      <c r="X55" s="1" t="str">
        <f>IFERROR(INDEX(Recipes[Component], Recipes[[#This Row],[Selected Sorted]]), "")</f>
        <v/>
      </c>
      <c r="Y55" s="1" t="str">
        <f>IFERROR(INDEX(Recipes[Quantity], Recipes[[#This Row],[Selected Sorted]]), "")</f>
        <v/>
      </c>
      <c r="AA55" t="s">
        <v>148</v>
      </c>
      <c r="AB55" t="s">
        <v>4</v>
      </c>
      <c r="AC55">
        <v>20</v>
      </c>
      <c r="AD55" s="1" t="str">
        <f>IFERROR(IF(INDEX(Items[Selected Count], MATCH(Recipes2[[#This Row],[Name]], Items[Name], 0)) &gt; 0, ROW() - ROW(Recipes2[#Headers]), ""), "")</f>
        <v/>
      </c>
      <c r="AE55" s="1" t="str">
        <f>IFERROR(SMALL(Recipes2[Selected], ROW() - ROW(Recipes2[#Headers])), "")</f>
        <v/>
      </c>
      <c r="AF55" s="1" t="str">
        <f>IFERROR(INDEX(Recipes2[Name], Recipes2[[#This Row],[Selected Sorted]]), "")</f>
        <v/>
      </c>
      <c r="AG55" s="1" t="str">
        <f>IFERROR(INDEX(Recipes2[Component], Recipes2[[#This Row],[Selected Sorted]]), "")</f>
        <v/>
      </c>
      <c r="AH55" s="1" t="str">
        <f>IFERROR(INDEX(Recipes2[Quantity], Recipes2[[#This Row],[Selected Sorted]]), "")</f>
        <v/>
      </c>
    </row>
    <row r="56" spans="1:34" x14ac:dyDescent="0.25">
      <c r="A56" t="s">
        <v>8</v>
      </c>
      <c r="B56">
        <v>0.5</v>
      </c>
      <c r="C56">
        <f>MAX(Items[[#This Row],[Base Cycle Time]] / Items[[#This Row],[Speed]], MinInsertionTime) / Items[[#This Row],[Quantity Per Cycle]] / Items[[#This Row],[Bonus]]</f>
        <v>0.4</v>
      </c>
      <c r="D56" s="39">
        <v>1</v>
      </c>
      <c r="E56" t="s">
        <v>59</v>
      </c>
      <c r="F56" s="39">
        <f>INDEX(CraftingTypes[Speed], MATCH(Items[[#This Row],[Producer Type]], CraftingTypes[Producer Type], 0))</f>
        <v>1.25</v>
      </c>
      <c r="G56" s="39">
        <f>INDEX(CraftingTypes[Bonus], MATCH(Items[[#This Row],[Producer Type]], CraftingTypes[Producer Type], 0)) + 1</f>
        <v>1</v>
      </c>
      <c r="H56" s="38">
        <f>1 / Items[[#This Row],[Cycle Time for One]]</f>
        <v>2.5</v>
      </c>
      <c r="I56" s="36" t="b">
        <f>IFERROR(OR(Items[[#This Row],[Name]] = SelectedName, INDEX(CraftingTypes[Include], MATCH(Items[[#This Row],[Producer Type]], CraftingTypes[Producer Type], 0))), FALSE)</f>
        <v>1</v>
      </c>
      <c r="J56" s="38">
        <f>IF(Items[[#This Row],[Name]] = SelectedName, 1, IF(NOT(Items[[#This Row],[Include]]), 0, SUMIFS(RecipeTotals.Quantity, RecipeTotals.Name, SelectedName, RecipeTotals.Component, Items[[#This Row],[Name]])))</f>
        <v>0</v>
      </c>
      <c r="K56" s="38">
        <f>IFERROR(Items[[#This Row],[Selected Count]] / CycleTime.Actual, "")</f>
        <v>0</v>
      </c>
      <c r="L56" s="38">
        <f>IFERROR(Items[[#This Row],[Selected Per Second]] / Items[[#This Row],[Per Second]], "")</f>
        <v>0</v>
      </c>
      <c r="M56" s="38">
        <f>IFERROR(Items[[#This Row],[Selected Per Second]] / Items[[#This Row],[Per Second]], "")</f>
        <v>0</v>
      </c>
      <c r="N56" s="38">
        <f>IFERROR(CEILING(Items[[#This Row],[Fractional Producers for Selected Count]], 1), 0)</f>
        <v>0</v>
      </c>
      <c r="O56" s="38" t="str">
        <f>IF(AND(Items[[#This Row],[Producers For Selected Count]] &gt; 0, Items[[#This Row],[Include]]), ROW() - ROW(Items[#Headers]), "")</f>
        <v/>
      </c>
      <c r="P56" s="38" t="str">
        <f>IFERROR(SMALL(Items[Include Row Index], ROW() - ROW(Items[#Headers])), "")</f>
        <v/>
      </c>
      <c r="R56" t="s">
        <v>122</v>
      </c>
      <c r="S56" t="s">
        <v>34</v>
      </c>
      <c r="T56">
        <v>1</v>
      </c>
      <c r="U56" s="1" t="str">
        <f>IFERROR(IF(INDEX(Items[Selected Count], MATCH(Recipes[[#This Row],[Name]], Items[Name], 0)) &gt; 0, ROW() - ROW(Recipes[#Headers]), ""), "")</f>
        <v/>
      </c>
      <c r="V56" s="1" t="str">
        <f>IFERROR(SMALL(Recipes[Selected], ROW() - ROW(Recipes[#Headers])), "")</f>
        <v/>
      </c>
      <c r="W56" s="1" t="str">
        <f>IFERROR(INDEX(Recipes[Name], Recipes[[#This Row],[Selected Sorted]]), "")</f>
        <v/>
      </c>
      <c r="X56" s="1" t="str">
        <f>IFERROR(INDEX(Recipes[Component], Recipes[[#This Row],[Selected Sorted]]), "")</f>
        <v/>
      </c>
      <c r="Y56" s="1" t="str">
        <f>IFERROR(INDEX(Recipes[Quantity], Recipes[[#This Row],[Selected Sorted]]), "")</f>
        <v/>
      </c>
      <c r="AA56" t="s">
        <v>129</v>
      </c>
      <c r="AB56" t="s">
        <v>4</v>
      </c>
      <c r="AC56">
        <v>5</v>
      </c>
      <c r="AD56" s="1" t="str">
        <f>IFERROR(IF(INDEX(Items[Selected Count], MATCH(Recipes2[[#This Row],[Name]], Items[Name], 0)) &gt; 0, ROW() - ROW(Recipes2[#Headers]), ""), "")</f>
        <v/>
      </c>
      <c r="AE56" s="1" t="str">
        <f>IFERROR(SMALL(Recipes2[Selected], ROW() - ROW(Recipes2[#Headers])), "")</f>
        <v/>
      </c>
      <c r="AF56" s="1" t="str">
        <f>IFERROR(INDEX(Recipes2[Name], Recipes2[[#This Row],[Selected Sorted]]), "")</f>
        <v/>
      </c>
      <c r="AG56" s="1" t="str">
        <f>IFERROR(INDEX(Recipes2[Component], Recipes2[[#This Row],[Selected Sorted]]), "")</f>
        <v/>
      </c>
      <c r="AH56" s="1" t="str">
        <f>IFERROR(INDEX(Recipes2[Quantity], Recipes2[[#This Row],[Selected Sorted]]), "")</f>
        <v/>
      </c>
    </row>
    <row r="57" spans="1:34" x14ac:dyDescent="0.25">
      <c r="A57" t="s">
        <v>85</v>
      </c>
      <c r="B57">
        <f>IF(MinerType = "Electric Mining Drill", 0.525, 0.28)</f>
        <v>0.52500000000000002</v>
      </c>
      <c r="C57">
        <f>MAX(Items[[#This Row],[Base Cycle Time]] / Items[[#This Row],[Speed]], MinInsertionTime) / Items[[#This Row],[Quantity Per Cycle]] / Items[[#This Row],[Bonus]]</f>
        <v>1</v>
      </c>
      <c r="D57" s="39">
        <v>1</v>
      </c>
      <c r="E57" t="s">
        <v>194</v>
      </c>
      <c r="F57" s="39">
        <f>INDEX(CraftingTypes[Speed], MATCH(Items[[#This Row],[Producer Type]], CraftingTypes[Producer Type], 0))</f>
        <v>0.52500000000000002</v>
      </c>
      <c r="G57" s="39">
        <f>INDEX(CraftingTypes[Bonus], MATCH(Items[[#This Row],[Producer Type]], CraftingTypes[Producer Type], 0)) + 1</f>
        <v>1</v>
      </c>
      <c r="H57" s="38">
        <f>1 / Items[[#This Row],[Cycle Time for One]]</f>
        <v>1</v>
      </c>
      <c r="I57" s="36" t="b">
        <f>IFERROR(OR(Items[[#This Row],[Name]] = SelectedName, INDEX(CraftingTypes[Include], MATCH(Items[[#This Row],[Producer Type]], CraftingTypes[Producer Type], 0))), FALSE)</f>
        <v>1</v>
      </c>
      <c r="J57" s="38">
        <f>IF(Items[[#This Row],[Name]] = SelectedName, 1, IF(NOT(Items[[#This Row],[Include]]), 0, SUMIFS(RecipeTotals.Quantity, RecipeTotals.Name, SelectedName, RecipeTotals.Component, Items[[#This Row],[Name]])))</f>
        <v>1</v>
      </c>
      <c r="K57" s="38">
        <f>IFERROR(Items[[#This Row],[Selected Count]] / CycleTime.Actual, "")</f>
        <v>2.5</v>
      </c>
      <c r="L57" s="38">
        <f>IFERROR(Items[[#This Row],[Selected Per Second]] / Items[[#This Row],[Per Second]], "")</f>
        <v>2.5</v>
      </c>
      <c r="M57" s="38">
        <f>IFERROR(Items[[#This Row],[Selected Per Second]] / Items[[#This Row],[Per Second]], "")</f>
        <v>2.5</v>
      </c>
      <c r="N57" s="38">
        <f>IFERROR(CEILING(Items[[#This Row],[Fractional Producers for Selected Count]], 1), 0)</f>
        <v>3</v>
      </c>
      <c r="O57" s="38">
        <f>IF(AND(Items[[#This Row],[Producers For Selected Count]] &gt; 0, Items[[#This Row],[Include]]), ROW() - ROW(Items[#Headers]), "")</f>
        <v>56</v>
      </c>
      <c r="P57" s="38" t="str">
        <f>IFERROR(SMALL(Items[Include Row Index], ROW() - ROW(Items[#Headers])), "")</f>
        <v/>
      </c>
      <c r="R57" t="s">
        <v>124</v>
      </c>
      <c r="S57" t="s">
        <v>123</v>
      </c>
      <c r="T57">
        <v>4</v>
      </c>
      <c r="U57" s="1" t="str">
        <f>IFERROR(IF(INDEX(Items[Selected Count], MATCH(Recipes[[#This Row],[Name]], Items[Name], 0)) &gt; 0, ROW() - ROW(Recipes[#Headers]), ""), "")</f>
        <v/>
      </c>
      <c r="V57" s="1" t="str">
        <f>IFERROR(SMALL(Recipes[Selected], ROW() - ROW(Recipes[#Headers])), "")</f>
        <v/>
      </c>
      <c r="W57" s="1" t="str">
        <f>IFERROR(INDEX(Recipes[Name], Recipes[[#This Row],[Selected Sorted]]), "")</f>
        <v/>
      </c>
      <c r="X57" s="1" t="str">
        <f>IFERROR(INDEX(Recipes[Component], Recipes[[#This Row],[Selected Sorted]]), "")</f>
        <v/>
      </c>
      <c r="Y57" s="1" t="str">
        <f>IFERROR(INDEX(Recipes[Quantity], Recipes[[#This Row],[Selected Sorted]]), "")</f>
        <v/>
      </c>
      <c r="AA57" t="s">
        <v>39</v>
      </c>
      <c r="AB57" t="s">
        <v>4</v>
      </c>
      <c r="AC57">
        <v>2</v>
      </c>
      <c r="AD57" t="str">
        <f>IFERROR(IF(INDEX(Items[Selected Count], MATCH(Recipes2[[#This Row],[Name]], Items[Name], 0)) &gt; 0, ROW() - ROW(Recipes2[#Headers]), ""), "")</f>
        <v/>
      </c>
      <c r="AE57" t="str">
        <f>IFERROR(SMALL(Recipes2[Selected], ROW() - ROW(Recipes2[#Headers])), "")</f>
        <v/>
      </c>
      <c r="AF57" t="str">
        <f>IFERROR(INDEX(Recipes2[Name], Recipes2[[#This Row],[Selected Sorted]]), "")</f>
        <v/>
      </c>
      <c r="AG57" t="str">
        <f>IFERROR(INDEX(Recipes2[Component], Recipes2[[#This Row],[Selected Sorted]]), "")</f>
        <v/>
      </c>
      <c r="AH57" s="1" t="str">
        <f>IFERROR(INDEX(Recipes2[Quantity], Recipes2[[#This Row],[Selected Sorted]]), "")</f>
        <v/>
      </c>
    </row>
    <row r="58" spans="1:34" x14ac:dyDescent="0.25">
      <c r="A58" t="s">
        <v>2</v>
      </c>
      <c r="B58">
        <v>3.5</v>
      </c>
      <c r="C58">
        <f>MAX(Items[[#This Row],[Base Cycle Time]] / Items[[#This Row],[Speed]], MinInsertionTime) / Items[[#This Row],[Quantity Per Cycle]] / Items[[#This Row],[Bonus]]</f>
        <v>0.58333333333333337</v>
      </c>
      <c r="D58" s="39">
        <v>1</v>
      </c>
      <c r="E58" t="s">
        <v>61</v>
      </c>
      <c r="F58" s="39">
        <f>INDEX(CraftingTypes[Speed], MATCH(Items[[#This Row],[Producer Type]], CraftingTypes[Producer Type], 0))</f>
        <v>6</v>
      </c>
      <c r="G58" s="39">
        <f>INDEX(CraftingTypes[Bonus], MATCH(Items[[#This Row],[Producer Type]], CraftingTypes[Producer Type], 0)) + 1</f>
        <v>1</v>
      </c>
      <c r="H58" s="39">
        <f>1 / Items[[#This Row],[Cycle Time for One]]</f>
        <v>1.7142857142857142</v>
      </c>
      <c r="I58" s="37" t="b">
        <f>IFERROR(OR(Items[[#This Row],[Name]] = SelectedName, INDEX(CraftingTypes[Include], MATCH(Items[[#This Row],[Producer Type]], CraftingTypes[Producer Type], 0))), FALSE)</f>
        <v>1</v>
      </c>
      <c r="J58" s="39">
        <f>IF(Items[[#This Row],[Name]] = SelectedName, 1, IF(NOT(Items[[#This Row],[Include]]), 0, SUMIFS(RecipeTotals.Quantity, RecipeTotals.Name, SelectedName, RecipeTotals.Component, Items[[#This Row],[Name]])))</f>
        <v>1</v>
      </c>
      <c r="K58" s="39">
        <f>IFERROR(Items[[#This Row],[Selected Count]] / CycleTime.Actual, "")</f>
        <v>2.5</v>
      </c>
      <c r="L58" s="39">
        <f>IFERROR(Items[[#This Row],[Selected Per Second]] / Items[[#This Row],[Per Second]], "")</f>
        <v>1.4583333333333335</v>
      </c>
      <c r="M58" s="39">
        <f>IFERROR(Items[[#This Row],[Selected Per Second]] / Items[[#This Row],[Per Second]], "")</f>
        <v>1.4583333333333335</v>
      </c>
      <c r="N58" s="39">
        <f>IFERROR(CEILING(Items[[#This Row],[Fractional Producers for Selected Count]], 1), 0)</f>
        <v>2</v>
      </c>
      <c r="O58" s="38">
        <f>IF(AND(Items[[#This Row],[Producers For Selected Count]] &gt; 0, Items[[#This Row],[Include]]), ROW() - ROW(Items[#Headers]), "")</f>
        <v>57</v>
      </c>
      <c r="P58" s="38" t="str">
        <f>IFERROR(SMALL(Items[Include Row Index], ROW() - ROW(Items[#Headers])), "")</f>
        <v/>
      </c>
      <c r="R58" t="s">
        <v>124</v>
      </c>
      <c r="S58" t="s">
        <v>0</v>
      </c>
      <c r="T58">
        <v>1</v>
      </c>
      <c r="U58" s="1" t="str">
        <f>IFERROR(IF(INDEX(Items[Selected Count], MATCH(Recipes[[#This Row],[Name]], Items[Name], 0)) &gt; 0, ROW() - ROW(Recipes[#Headers]), ""), "")</f>
        <v/>
      </c>
      <c r="V58" s="1" t="str">
        <f>IFERROR(SMALL(Recipes[Selected], ROW() - ROW(Recipes[#Headers])), "")</f>
        <v/>
      </c>
      <c r="W58" s="1" t="str">
        <f>IFERROR(INDEX(Recipes[Name], Recipes[[#This Row],[Selected Sorted]]), "")</f>
        <v/>
      </c>
      <c r="X58" s="1" t="str">
        <f>IFERROR(INDEX(Recipes[Component], Recipes[[#This Row],[Selected Sorted]]), "")</f>
        <v/>
      </c>
      <c r="Y58" s="1" t="str">
        <f>IFERROR(INDEX(Recipes[Quantity], Recipes[[#This Row],[Selected Sorted]]), "")</f>
        <v/>
      </c>
      <c r="AA58" t="s">
        <v>145</v>
      </c>
      <c r="AB58" t="s">
        <v>4</v>
      </c>
      <c r="AC58">
        <v>500</v>
      </c>
      <c r="AD58" s="1" t="str">
        <f>IFERROR(IF(INDEX(Items[Selected Count], MATCH(Recipes2[[#This Row],[Name]], Items[Name], 0)) &gt; 0, ROW() - ROW(Recipes2[#Headers]), ""), "")</f>
        <v/>
      </c>
      <c r="AE58" s="1" t="str">
        <f>IFERROR(SMALL(Recipes2[Selected], ROW() - ROW(Recipes2[#Headers])), "")</f>
        <v/>
      </c>
      <c r="AF58" s="1" t="str">
        <f>IFERROR(INDEX(Recipes2[Name], Recipes2[[#This Row],[Selected Sorted]]), "")</f>
        <v/>
      </c>
      <c r="AG58" s="1" t="str">
        <f>IFERROR(INDEX(Recipes2[Component], Recipes2[[#This Row],[Selected Sorted]]), "")</f>
        <v/>
      </c>
      <c r="AH58" s="1" t="str">
        <f>IFERROR(INDEX(Recipes2[Quantity], Recipes2[[#This Row],[Selected Sorted]]), "")</f>
        <v/>
      </c>
    </row>
    <row r="59" spans="1:34" x14ac:dyDescent="0.25">
      <c r="A59" t="s">
        <v>138</v>
      </c>
      <c r="B59">
        <v>0.5</v>
      </c>
      <c r="C59" s="1">
        <f>MAX(Items[[#This Row],[Base Cycle Time]] / Items[[#This Row],[Speed]], MinInsertionTime) / Items[[#This Row],[Quantity Per Cycle]] / Items[[#This Row],[Bonus]]</f>
        <v>0.4</v>
      </c>
      <c r="D59" s="39">
        <v>1</v>
      </c>
      <c r="E59" t="s">
        <v>59</v>
      </c>
      <c r="F59" s="38">
        <f>INDEX(CraftingTypes[Speed], MATCH(Items[[#This Row],[Producer Type]], CraftingTypes[Producer Type], 0))</f>
        <v>1.25</v>
      </c>
      <c r="G59" s="38">
        <f>INDEX(CraftingTypes[Bonus], MATCH(Items[[#This Row],[Producer Type]], CraftingTypes[Producer Type], 0)) + 1</f>
        <v>1</v>
      </c>
      <c r="H59" s="38">
        <f>1 / Items[[#This Row],[Cycle Time for One]]</f>
        <v>2.5</v>
      </c>
      <c r="I59" s="36" t="b">
        <f>IFERROR(OR(Items[[#This Row],[Name]] = SelectedName, INDEX(CraftingTypes[Include], MATCH(Items[[#This Row],[Producer Type]], CraftingTypes[Producer Type], 0))), FALSE)</f>
        <v>1</v>
      </c>
      <c r="J59" s="38">
        <f>IF(Items[[#This Row],[Name]] = SelectedName, 1, IF(NOT(Items[[#This Row],[Include]]), 0, SUMIFS(RecipeTotals.Quantity, RecipeTotals.Name, SelectedName, RecipeTotals.Component, Items[[#This Row],[Name]])))</f>
        <v>0</v>
      </c>
      <c r="K59" s="38">
        <f>IFERROR(Items[[#This Row],[Selected Count]] / CycleTime.Actual, "")</f>
        <v>0</v>
      </c>
      <c r="L59" s="38">
        <f>IFERROR(Items[[#This Row],[Selected Per Second]] / Items[[#This Row],[Per Second]], "")</f>
        <v>0</v>
      </c>
      <c r="M59" s="38">
        <f>IFERROR(Items[[#This Row],[Selected Per Second]] / Items[[#This Row],[Per Second]], "")</f>
        <v>0</v>
      </c>
      <c r="N59" s="38">
        <f>IFERROR(CEILING(Items[[#This Row],[Fractional Producers for Selected Count]], 1), 0)</f>
        <v>0</v>
      </c>
      <c r="O59" s="38" t="str">
        <f>IF(AND(Items[[#This Row],[Producers For Selected Count]] &gt; 0, Items[[#This Row],[Include]]), ROW() - ROW(Items[#Headers]), "")</f>
        <v/>
      </c>
      <c r="P59" s="38" t="str">
        <f>IFERROR(SMALL(Items[Include Row Index], ROW() - ROW(Items[#Headers])), "")</f>
        <v/>
      </c>
      <c r="R59" t="s">
        <v>123</v>
      </c>
      <c r="S59" t="s">
        <v>6</v>
      </c>
      <c r="T59">
        <v>3</v>
      </c>
      <c r="U59" s="1" t="str">
        <f>IFERROR(IF(INDEX(Items[Selected Count], MATCH(Recipes[[#This Row],[Name]], Items[Name], 0)) &gt; 0, ROW() - ROW(Recipes[#Headers]), ""), "")</f>
        <v/>
      </c>
      <c r="V59" s="1" t="str">
        <f>IFERROR(SMALL(Recipes[Selected], ROW() - ROW(Recipes[#Headers])), "")</f>
        <v/>
      </c>
      <c r="W59" s="1" t="str">
        <f>IFERROR(INDEX(Recipes[Name], Recipes[[#This Row],[Selected Sorted]]), "")</f>
        <v/>
      </c>
      <c r="X59" s="1" t="str">
        <f>IFERROR(INDEX(Recipes[Component], Recipes[[#This Row],[Selected Sorted]]), "")</f>
        <v/>
      </c>
      <c r="Y59" s="1" t="str">
        <f>IFERROR(INDEX(Recipes[Quantity], Recipes[[#This Row],[Selected Sorted]]), "")</f>
        <v/>
      </c>
      <c r="AA59" t="s">
        <v>34</v>
      </c>
      <c r="AB59" t="s">
        <v>4</v>
      </c>
      <c r="AC59">
        <v>5</v>
      </c>
      <c r="AD59" s="1" t="str">
        <f>IFERROR(IF(INDEX(Items[Selected Count], MATCH(Recipes2[[#This Row],[Name]], Items[Name], 0)) &gt; 0, ROW() - ROW(Recipes2[#Headers]), ""), "")</f>
        <v/>
      </c>
      <c r="AE59" s="1" t="str">
        <f>IFERROR(SMALL(Recipes2[Selected], ROW() - ROW(Recipes2[#Headers])), "")</f>
        <v/>
      </c>
      <c r="AF59" s="1" t="str">
        <f>IFERROR(INDEX(Recipes2[Name], Recipes2[[#This Row],[Selected Sorted]]), "")</f>
        <v/>
      </c>
      <c r="AG59" s="1" t="str">
        <f>IFERROR(INDEX(Recipes2[Component], Recipes2[[#This Row],[Selected Sorted]]), "")</f>
        <v/>
      </c>
      <c r="AH59" s="1" t="str">
        <f>IFERROR(INDEX(Recipes2[Quantity], Recipes2[[#This Row],[Selected Sorted]]), "")</f>
        <v/>
      </c>
    </row>
    <row r="60" spans="1:34" x14ac:dyDescent="0.25">
      <c r="A60" t="s">
        <v>150</v>
      </c>
      <c r="B60">
        <v>3</v>
      </c>
      <c r="C60" s="1">
        <f>MAX(Items[[#This Row],[Base Cycle Time]] / Items[[#This Row],[Speed]], MinInsertionTime) / Items[[#This Row],[Quantity Per Cycle]] / Items[[#This Row],[Bonus]]</f>
        <v>2.4</v>
      </c>
      <c r="D60" s="39">
        <v>1</v>
      </c>
      <c r="E60" t="s">
        <v>59</v>
      </c>
      <c r="F60" s="38">
        <f>INDEX(CraftingTypes[Speed], MATCH(Items[[#This Row],[Producer Type]], CraftingTypes[Producer Type], 0))</f>
        <v>1.25</v>
      </c>
      <c r="G60" s="38">
        <f>INDEX(CraftingTypes[Bonus], MATCH(Items[[#This Row],[Producer Type]], CraftingTypes[Producer Type], 0)) + 1</f>
        <v>1</v>
      </c>
      <c r="H60" s="38">
        <f>1 / Items[[#This Row],[Cycle Time for One]]</f>
        <v>0.41666666666666669</v>
      </c>
      <c r="I60" s="36" t="b">
        <f>IFERROR(OR(Items[[#This Row],[Name]] = SelectedName, INDEX(CraftingTypes[Include], MATCH(Items[[#This Row],[Producer Type]], CraftingTypes[Producer Type], 0))), FALSE)</f>
        <v>1</v>
      </c>
      <c r="J60" s="38">
        <f>IF(Items[[#This Row],[Name]] = SelectedName, 1, IF(NOT(Items[[#This Row],[Include]]), 0, SUMIFS(RecipeTotals.Quantity, RecipeTotals.Name, SelectedName, RecipeTotals.Component, Items[[#This Row],[Name]])))</f>
        <v>0</v>
      </c>
      <c r="K60" s="38">
        <f>IFERROR(Items[[#This Row],[Selected Count]] / CycleTime.Actual, "")</f>
        <v>0</v>
      </c>
      <c r="L60" s="38">
        <f>IFERROR(Items[[#This Row],[Selected Per Second]] / Items[[#This Row],[Per Second]], "")</f>
        <v>0</v>
      </c>
      <c r="M60" s="38">
        <f>IFERROR(Items[[#This Row],[Selected Per Second]] / Items[[#This Row],[Per Second]], "")</f>
        <v>0</v>
      </c>
      <c r="N60" s="38">
        <f>IFERROR(CEILING(Items[[#This Row],[Fractional Producers for Selected Count]], 1), 0)</f>
        <v>0</v>
      </c>
      <c r="O60" s="38" t="str">
        <f>IF(AND(Items[[#This Row],[Producers For Selected Count]] &gt; 0, Items[[#This Row],[Include]]), ROW() - ROW(Items[#Headers]), "")</f>
        <v/>
      </c>
      <c r="P60" s="38" t="str">
        <f>IFERROR(SMALL(Items[Include Row Index], ROW() - ROW(Items[#Headers])), "")</f>
        <v/>
      </c>
      <c r="R60" t="s">
        <v>123</v>
      </c>
      <c r="S60" t="s">
        <v>122</v>
      </c>
      <c r="T60">
        <v>4</v>
      </c>
      <c r="U60" s="1" t="str">
        <f>IFERROR(IF(INDEX(Items[Selected Count], MATCH(Recipes[[#This Row],[Name]], Items[Name], 0)) &gt; 0, ROW() - ROW(Recipes[#Headers]), ""), "")</f>
        <v/>
      </c>
      <c r="V60" s="1" t="str">
        <f>IFERROR(SMALL(Recipes[Selected], ROW() - ROW(Recipes[#Headers])), "")</f>
        <v/>
      </c>
      <c r="W60" s="1" t="str">
        <f>IFERROR(INDEX(Recipes[Name], Recipes[[#This Row],[Selected Sorted]]), "")</f>
        <v/>
      </c>
      <c r="X60" s="1" t="str">
        <f>IFERROR(INDEX(Recipes[Component], Recipes[[#This Row],[Selected Sorted]]), "")</f>
        <v/>
      </c>
      <c r="Y60" s="1" t="str">
        <f>IFERROR(INDEX(Recipes[Quantity], Recipes[[#This Row],[Selected Sorted]]), "")</f>
        <v/>
      </c>
      <c r="AA60" t="s">
        <v>48</v>
      </c>
      <c r="AB60" t="s">
        <v>4</v>
      </c>
      <c r="AC60">
        <v>1</v>
      </c>
      <c r="AD60" t="str">
        <f>IFERROR(IF(INDEX(Items[Selected Count], MATCH(Recipes2[[#This Row],[Name]], Items[Name], 0)) &gt; 0, ROW() - ROW(Recipes2[#Headers]), ""), "")</f>
        <v/>
      </c>
      <c r="AE60" t="str">
        <f>IFERROR(SMALL(Recipes2[Selected], ROW() - ROW(Recipes2[#Headers])), "")</f>
        <v/>
      </c>
      <c r="AF60" t="str">
        <f>IFERROR(INDEX(Recipes2[Name], Recipes2[[#This Row],[Selected Sorted]]), "")</f>
        <v/>
      </c>
      <c r="AG60" t="str">
        <f>IFERROR(INDEX(Recipes2[Component], Recipes2[[#This Row],[Selected Sorted]]), "")</f>
        <v/>
      </c>
      <c r="AH60" s="1" t="str">
        <f>IFERROR(INDEX(Recipes2[Quantity], Recipes2[[#This Row],[Selected Sorted]]), "")</f>
        <v/>
      </c>
    </row>
    <row r="61" spans="1:34" x14ac:dyDescent="0.25">
      <c r="A61" t="s">
        <v>168</v>
      </c>
      <c r="B61">
        <v>0.5</v>
      </c>
      <c r="C61" s="1">
        <f>MAX(Items[[#This Row],[Base Cycle Time]] / Items[[#This Row],[Speed]], MinInsertionTime) / Items[[#This Row],[Quantity Per Cycle]] / Items[[#This Row],[Bonus]]</f>
        <v>0.4</v>
      </c>
      <c r="D61" s="39">
        <v>1</v>
      </c>
      <c r="E61" t="s">
        <v>59</v>
      </c>
      <c r="F61" s="38">
        <f>INDEX(CraftingTypes[Speed], MATCH(Items[[#This Row],[Producer Type]], CraftingTypes[Producer Type], 0))</f>
        <v>1.25</v>
      </c>
      <c r="G61" s="38">
        <f>INDEX(CraftingTypes[Bonus], MATCH(Items[[#This Row],[Producer Type]], CraftingTypes[Producer Type], 0)) + 1</f>
        <v>1</v>
      </c>
      <c r="H61" s="38">
        <f>1 / Items[[#This Row],[Cycle Time for One]]</f>
        <v>2.5</v>
      </c>
      <c r="I61" s="36" t="b">
        <f>IFERROR(OR(Items[[#This Row],[Name]] = SelectedName, INDEX(CraftingTypes[Include], MATCH(Items[[#This Row],[Producer Type]], CraftingTypes[Producer Type], 0))), FALSE)</f>
        <v>1</v>
      </c>
      <c r="J61" s="38">
        <f>IF(Items[[#This Row],[Name]] = SelectedName, 1, IF(NOT(Items[[#This Row],[Include]]), 0, SUMIFS(RecipeTotals.Quantity, RecipeTotals.Name, SelectedName, RecipeTotals.Component, Items[[#This Row],[Name]])))</f>
        <v>0</v>
      </c>
      <c r="K61" s="38">
        <f>IFERROR(Items[[#This Row],[Selected Count]] / CycleTime.Actual, "")</f>
        <v>0</v>
      </c>
      <c r="L61" s="38">
        <f>IFERROR(Items[[#This Row],[Selected Per Second]] / Items[[#This Row],[Per Second]], "")</f>
        <v>0</v>
      </c>
      <c r="M61" s="38">
        <f>IFERROR(Items[[#This Row],[Selected Per Second]] / Items[[#This Row],[Per Second]], "")</f>
        <v>0</v>
      </c>
      <c r="N61" s="38">
        <f>IFERROR(CEILING(Items[[#This Row],[Fractional Producers for Selected Count]], 1), 0)</f>
        <v>0</v>
      </c>
      <c r="O61" s="38" t="str">
        <f>IF(AND(Items[[#This Row],[Producers For Selected Count]] &gt; 0, Items[[#This Row],[Include]]), ROW() - ROW(Items[#Headers]), "")</f>
        <v/>
      </c>
      <c r="P61" s="38" t="str">
        <f>IFERROR(SMALL(Items[Include Row Index], ROW() - ROW(Items[#Headers])), "")</f>
        <v/>
      </c>
      <c r="R61" t="s">
        <v>116</v>
      </c>
      <c r="S61" t="s">
        <v>6</v>
      </c>
      <c r="T61">
        <v>5</v>
      </c>
      <c r="U61" s="1" t="str">
        <f>IFERROR(IF(INDEX(Items[Selected Count], MATCH(Recipes[[#This Row],[Name]], Items[Name], 0)) &gt; 0, ROW() - ROW(Recipes[#Headers]), ""), "")</f>
        <v/>
      </c>
      <c r="V61" s="1" t="str">
        <f>IFERROR(SMALL(Recipes[Selected], ROW() - ROW(Recipes[#Headers])), "")</f>
        <v/>
      </c>
      <c r="W61" s="1" t="str">
        <f>IFERROR(INDEX(Recipes[Name], Recipes[[#This Row],[Selected Sorted]]), "")</f>
        <v/>
      </c>
      <c r="X61" s="1" t="str">
        <f>IFERROR(INDEX(Recipes[Component], Recipes[[#This Row],[Selected Sorted]]), "")</f>
        <v/>
      </c>
      <c r="Y61" s="1" t="str">
        <f>IFERROR(INDEX(Recipes[Quantity], Recipes[[#This Row],[Selected Sorted]]), "")</f>
        <v/>
      </c>
      <c r="AA61" t="s">
        <v>67</v>
      </c>
      <c r="AB61" t="s">
        <v>4</v>
      </c>
      <c r="AC61">
        <v>5</v>
      </c>
      <c r="AD61" t="str">
        <f>IFERROR(IF(INDEX(Items[Selected Count], MATCH(Recipes2[[#This Row],[Name]], Items[Name], 0)) &gt; 0, ROW() - ROW(Recipes2[#Headers]), ""), "")</f>
        <v/>
      </c>
      <c r="AE61" t="str">
        <f>IFERROR(SMALL(Recipes2[Selected], ROW() - ROW(Recipes2[#Headers])), "")</f>
        <v/>
      </c>
      <c r="AF61" t="str">
        <f>IFERROR(INDEX(Recipes2[Name], Recipes2[[#This Row],[Selected Sorted]]), "")</f>
        <v/>
      </c>
      <c r="AG61" t="str">
        <f>IFERROR(INDEX(Recipes2[Component], Recipes2[[#This Row],[Selected Sorted]]), "")</f>
        <v/>
      </c>
      <c r="AH61" s="1" t="str">
        <f>IFERROR(INDEX(Recipes2[Quantity], Recipes2[[#This Row],[Selected Sorted]]), "")</f>
        <v/>
      </c>
    </row>
    <row r="62" spans="1:34" x14ac:dyDescent="0.25">
      <c r="A62" t="s">
        <v>111</v>
      </c>
      <c r="B62">
        <v>20</v>
      </c>
      <c r="C62">
        <f>MAX(Items[[#This Row],[Base Cycle Time]] / Items[[#This Row],[Speed]], MinInsertionTime) / Items[[#This Row],[Quantity Per Cycle]] / Items[[#This Row],[Bonus]]</f>
        <v>16</v>
      </c>
      <c r="D62" s="39">
        <v>1</v>
      </c>
      <c r="E62" t="s">
        <v>59</v>
      </c>
      <c r="F62" s="38">
        <f>INDEX(CraftingTypes[Speed], MATCH(Items[[#This Row],[Producer Type]], CraftingTypes[Producer Type], 0))</f>
        <v>1.25</v>
      </c>
      <c r="G62" s="38">
        <f>INDEX(CraftingTypes[Bonus], MATCH(Items[[#This Row],[Producer Type]], CraftingTypes[Producer Type], 0)) + 1</f>
        <v>1</v>
      </c>
      <c r="H62" s="38">
        <f>1 / Items[[#This Row],[Cycle Time for One]]</f>
        <v>6.25E-2</v>
      </c>
      <c r="I62" s="36" t="b">
        <f>IFERROR(OR(Items[[#This Row],[Name]] = SelectedName, INDEX(CraftingTypes[Include], MATCH(Items[[#This Row],[Producer Type]], CraftingTypes[Producer Type], 0))), FALSE)</f>
        <v>1</v>
      </c>
      <c r="J62" s="38">
        <f>IF(Items[[#This Row],[Name]] = SelectedName, 1, IF(NOT(Items[[#This Row],[Include]]), 0, SUMIFS(RecipeTotals.Quantity, RecipeTotals.Name, SelectedName, RecipeTotals.Component, Items[[#This Row],[Name]])))</f>
        <v>0</v>
      </c>
      <c r="K62" s="38">
        <f>IFERROR(Items[[#This Row],[Selected Count]] / CycleTime.Actual, "")</f>
        <v>0</v>
      </c>
      <c r="L62" s="38">
        <f>IFERROR(Items[[#This Row],[Selected Per Second]] / Items[[#This Row],[Per Second]], "")</f>
        <v>0</v>
      </c>
      <c r="M62" s="38">
        <f>IFERROR(Items[[#This Row],[Selected Per Second]] / Items[[#This Row],[Per Second]], "")</f>
        <v>0</v>
      </c>
      <c r="N62" s="38">
        <f>IFERROR(CEILING(Items[[#This Row],[Fractional Producers for Selected Count]], 1), 0)</f>
        <v>0</v>
      </c>
      <c r="O62" s="38" t="str">
        <f>IF(AND(Items[[#This Row],[Producers For Selected Count]] &gt; 0, Items[[#This Row],[Include]]), ROW() - ROW(Items[#Headers]), "")</f>
        <v/>
      </c>
      <c r="P62" s="38" t="str">
        <f>IFERROR(SMALL(Items[Include Row Index], ROW() - ROW(Items[#Headers])), "")</f>
        <v/>
      </c>
      <c r="R62" t="s">
        <v>116</v>
      </c>
      <c r="S62" t="s">
        <v>5</v>
      </c>
      <c r="T62">
        <v>5</v>
      </c>
      <c r="U62" s="1" t="str">
        <f>IFERROR(IF(INDEX(Items[Selected Count], MATCH(Recipes[[#This Row],[Name]], Items[Name], 0)) &gt; 0, ROW() - ROW(Recipes[#Headers]), ""), "")</f>
        <v/>
      </c>
      <c r="V62" s="1" t="str">
        <f>IFERROR(SMALL(Recipes[Selected], ROW() - ROW(Recipes[#Headers])), "")</f>
        <v/>
      </c>
      <c r="W62" s="1" t="str">
        <f>IFERROR(INDEX(Recipes[Name], Recipes[[#This Row],[Selected Sorted]]), "")</f>
        <v/>
      </c>
      <c r="X62" s="1" t="str">
        <f>IFERROR(INDEX(Recipes[Component], Recipes[[#This Row],[Selected Sorted]]), "")</f>
        <v/>
      </c>
      <c r="Y62" s="1" t="str">
        <f>IFERROR(INDEX(Recipes[Quantity], Recipes[[#This Row],[Selected Sorted]]), "")</f>
        <v/>
      </c>
      <c r="AA62" t="s">
        <v>144</v>
      </c>
      <c r="AB62" t="s">
        <v>4</v>
      </c>
      <c r="AC62">
        <v>50</v>
      </c>
      <c r="AD62" s="1" t="str">
        <f>IFERROR(IF(INDEX(Items[Selected Count], MATCH(Recipes2[[#This Row],[Name]], Items[Name], 0)) &gt; 0, ROW() - ROW(Recipes2[#Headers]), ""), "")</f>
        <v/>
      </c>
      <c r="AE62" s="1" t="str">
        <f>IFERROR(SMALL(Recipes2[Selected], ROW() - ROW(Recipes2[#Headers])), "")</f>
        <v/>
      </c>
      <c r="AF62" s="1" t="str">
        <f>IFERROR(INDEX(Recipes2[Name], Recipes2[[#This Row],[Selected Sorted]]), "")</f>
        <v/>
      </c>
      <c r="AG62" s="1" t="str">
        <f>IFERROR(INDEX(Recipes2[Component], Recipes2[[#This Row],[Selected Sorted]]), "")</f>
        <v/>
      </c>
      <c r="AH62" s="1" t="str">
        <f>IFERROR(INDEX(Recipes2[Quantity], Recipes2[[#This Row],[Selected Sorted]]), "")</f>
        <v/>
      </c>
    </row>
    <row r="63" spans="1:34" x14ac:dyDescent="0.25">
      <c r="A63" t="s">
        <v>158</v>
      </c>
      <c r="B63">
        <v>0.5</v>
      </c>
      <c r="C63" s="1">
        <f>MAX(Items[[#This Row],[Base Cycle Time]] / Items[[#This Row],[Speed]], MinInsertionTime) / Items[[#This Row],[Quantity Per Cycle]] / Items[[#This Row],[Bonus]]</f>
        <v>0.4</v>
      </c>
      <c r="D63" s="39">
        <v>1</v>
      </c>
      <c r="E63" t="s">
        <v>59</v>
      </c>
      <c r="F63" s="38">
        <f>INDEX(CraftingTypes[Speed], MATCH(Items[[#This Row],[Producer Type]], CraftingTypes[Producer Type], 0))</f>
        <v>1.25</v>
      </c>
      <c r="G63" s="38">
        <f>INDEX(CraftingTypes[Bonus], MATCH(Items[[#This Row],[Producer Type]], CraftingTypes[Producer Type], 0)) + 1</f>
        <v>1</v>
      </c>
      <c r="H63" s="38">
        <f>1 / Items[[#This Row],[Cycle Time for One]]</f>
        <v>2.5</v>
      </c>
      <c r="I63" s="36" t="b">
        <f>IFERROR(OR(Items[[#This Row],[Name]] = SelectedName, INDEX(CraftingTypes[Include], MATCH(Items[[#This Row],[Producer Type]], CraftingTypes[Producer Type], 0))), FALSE)</f>
        <v>1</v>
      </c>
      <c r="J63" s="38">
        <f>IF(Items[[#This Row],[Name]] = SelectedName, 1, IF(NOT(Items[[#This Row],[Include]]), 0, SUMIFS(RecipeTotals.Quantity, RecipeTotals.Name, SelectedName, RecipeTotals.Component, Items[[#This Row],[Name]])))</f>
        <v>0</v>
      </c>
      <c r="K63" s="38">
        <f>IFERROR(Items[[#This Row],[Selected Count]] / CycleTime.Actual, "")</f>
        <v>0</v>
      </c>
      <c r="L63" s="38">
        <f>IFERROR(Items[[#This Row],[Selected Per Second]] / Items[[#This Row],[Per Second]], "")</f>
        <v>0</v>
      </c>
      <c r="M63" s="38">
        <f>IFERROR(Items[[#This Row],[Selected Per Second]] / Items[[#This Row],[Per Second]], "")</f>
        <v>0</v>
      </c>
      <c r="N63" s="38">
        <f>IFERROR(CEILING(Items[[#This Row],[Fractional Producers for Selected Count]], 1), 0)</f>
        <v>0</v>
      </c>
      <c r="O63" s="38" t="str">
        <f>IF(AND(Items[[#This Row],[Producers For Selected Count]] &gt; 0, Items[[#This Row],[Include]]), ROW() - ROW(Items[#Headers]), "")</f>
        <v/>
      </c>
      <c r="P63" s="38" t="str">
        <f>IFERROR(SMALL(Items[Include Row Index], ROW() - ROW(Items[#Headers])), "")</f>
        <v/>
      </c>
      <c r="R63" t="s">
        <v>112</v>
      </c>
      <c r="S63" t="s">
        <v>6</v>
      </c>
      <c r="T63">
        <v>5</v>
      </c>
      <c r="U63" s="1" t="str">
        <f>IFERROR(IF(INDEX(Items[Selected Count], MATCH(Recipes[[#This Row],[Name]], Items[Name], 0)) &gt; 0, ROW() - ROW(Recipes[#Headers]), ""), "")</f>
        <v/>
      </c>
      <c r="V63" s="1" t="str">
        <f>IFERROR(SMALL(Recipes[Selected], ROW() - ROW(Recipes[#Headers])), "")</f>
        <v/>
      </c>
      <c r="W63" s="1" t="str">
        <f>IFERROR(INDEX(Recipes[Name], Recipes[[#This Row],[Selected Sorted]]), "")</f>
        <v/>
      </c>
      <c r="X63" s="1" t="str">
        <f>IFERROR(INDEX(Recipes[Component], Recipes[[#This Row],[Selected Sorted]]), "")</f>
        <v/>
      </c>
      <c r="Y63" s="1" t="str">
        <f>IFERROR(INDEX(Recipes[Quantity], Recipes[[#This Row],[Selected Sorted]]), "")</f>
        <v/>
      </c>
      <c r="AA63" t="s">
        <v>41</v>
      </c>
      <c r="AB63" t="s">
        <v>4</v>
      </c>
      <c r="AC63">
        <v>5</v>
      </c>
      <c r="AD63" t="str">
        <f>IFERROR(IF(INDEX(Items[Selected Count], MATCH(Recipes2[[#This Row],[Name]], Items[Name], 0)) &gt; 0, ROW() - ROW(Recipes2[#Headers]), ""), "")</f>
        <v/>
      </c>
      <c r="AE63" t="str">
        <f>IFERROR(SMALL(Recipes2[Selected], ROW() - ROW(Recipes2[#Headers])), "")</f>
        <v/>
      </c>
      <c r="AF63" t="str">
        <f>IFERROR(INDEX(Recipes2[Name], Recipes2[[#This Row],[Selected Sorted]]), "")</f>
        <v/>
      </c>
      <c r="AG63" t="str">
        <f>IFERROR(INDEX(Recipes2[Component], Recipes2[[#This Row],[Selected Sorted]]), "")</f>
        <v/>
      </c>
      <c r="AH63" s="1" t="str">
        <f>IFERROR(INDEX(Recipes2[Quantity], Recipes2[[#This Row],[Selected Sorted]]), "")</f>
        <v/>
      </c>
    </row>
    <row r="64" spans="1:34" x14ac:dyDescent="0.25">
      <c r="A64" t="s">
        <v>57</v>
      </c>
      <c r="B64">
        <v>0.5</v>
      </c>
      <c r="C64">
        <f>MAX(Items[[#This Row],[Base Cycle Time]] / Items[[#This Row],[Speed]], MinInsertionTime) / Items[[#This Row],[Quantity Per Cycle]] / Items[[#This Row],[Bonus]]</f>
        <v>0.4</v>
      </c>
      <c r="D64" s="39">
        <v>1</v>
      </c>
      <c r="E64" t="s">
        <v>59</v>
      </c>
      <c r="F64" s="39">
        <f>INDEX(CraftingTypes[Speed], MATCH(Items[[#This Row],[Producer Type]], CraftingTypes[Producer Type], 0))</f>
        <v>1.25</v>
      </c>
      <c r="G64" s="39">
        <f>INDEX(CraftingTypes[Bonus], MATCH(Items[[#This Row],[Producer Type]], CraftingTypes[Producer Type], 0)) + 1</f>
        <v>1</v>
      </c>
      <c r="H64" s="38">
        <f>1 / Items[[#This Row],[Cycle Time for One]]</f>
        <v>2.5</v>
      </c>
      <c r="I64" s="36" t="b">
        <f>IFERROR(OR(Items[[#This Row],[Name]] = SelectedName, INDEX(CraftingTypes[Include], MATCH(Items[[#This Row],[Producer Type]], CraftingTypes[Producer Type], 0))), FALSE)</f>
        <v>1</v>
      </c>
      <c r="J64" s="38">
        <f>IF(Items[[#This Row],[Name]] = SelectedName, 1, IF(NOT(Items[[#This Row],[Include]]), 0, SUMIFS(RecipeTotals.Quantity, RecipeTotals.Name, SelectedName, RecipeTotals.Component, Items[[#This Row],[Name]])))</f>
        <v>0</v>
      </c>
      <c r="K64" s="38">
        <f>IFERROR(Items[[#This Row],[Selected Count]] / CycleTime.Actual, "")</f>
        <v>0</v>
      </c>
      <c r="L64" s="38">
        <f>IFERROR(Items[[#This Row],[Selected Per Second]] / Items[[#This Row],[Per Second]], "")</f>
        <v>0</v>
      </c>
      <c r="M64" s="38">
        <f>IFERROR(Items[[#This Row],[Selected Per Second]] / Items[[#This Row],[Per Second]], "")</f>
        <v>0</v>
      </c>
      <c r="N64" s="38">
        <f>IFERROR(CEILING(Items[[#This Row],[Fractional Producers for Selected Count]], 1), 0)</f>
        <v>0</v>
      </c>
      <c r="O64" s="38" t="str">
        <f>IF(AND(Items[[#This Row],[Producers For Selected Count]] &gt; 0, Items[[#This Row],[Include]]), ROW() - ROW(Items[#Headers]), "")</f>
        <v/>
      </c>
      <c r="P64" s="38" t="str">
        <f>IFERROR(SMALL(Items[Include Row Index], ROW() - ROW(Items[#Headers])), "")</f>
        <v/>
      </c>
      <c r="R64" t="s">
        <v>112</v>
      </c>
      <c r="S64" t="s">
        <v>116</v>
      </c>
      <c r="T64">
        <v>4</v>
      </c>
      <c r="U64" s="1" t="str">
        <f>IFERROR(IF(INDEX(Items[Selected Count], MATCH(Recipes[[#This Row],[Name]], Items[Name], 0)) &gt; 0, ROW() - ROW(Recipes[#Headers]), ""), "")</f>
        <v/>
      </c>
      <c r="V64" s="1" t="str">
        <f>IFERROR(SMALL(Recipes[Selected], ROW() - ROW(Recipes[#Headers])), "")</f>
        <v/>
      </c>
      <c r="W64" s="1" t="str">
        <f>IFERROR(INDEX(Recipes[Name], Recipes[[#This Row],[Selected Sorted]]), "")</f>
        <v/>
      </c>
      <c r="X64" s="1" t="str">
        <f>IFERROR(INDEX(Recipes[Component], Recipes[[#This Row],[Selected Sorted]]), "")</f>
        <v/>
      </c>
      <c r="Y64" s="1" t="str">
        <f>IFERROR(INDEX(Recipes[Quantity], Recipes[[#This Row],[Selected Sorted]]), "")</f>
        <v/>
      </c>
      <c r="AA64" t="s">
        <v>123</v>
      </c>
      <c r="AB64" t="s">
        <v>122</v>
      </c>
      <c r="AC64">
        <v>4</v>
      </c>
      <c r="AD64" s="1" t="str">
        <f>IFERROR(IF(INDEX(Items[Selected Count], MATCH(Recipes2[[#This Row],[Name]], Items[Name], 0)) &gt; 0, ROW() - ROW(Recipes2[#Headers]), ""), "")</f>
        <v/>
      </c>
      <c r="AE64" s="1" t="str">
        <f>IFERROR(SMALL(Recipes2[Selected], ROW() - ROW(Recipes2[#Headers])), "")</f>
        <v/>
      </c>
      <c r="AF64" s="1" t="str">
        <f>IFERROR(INDEX(Recipes2[Name], Recipes2[[#This Row],[Selected Sorted]]), "")</f>
        <v/>
      </c>
      <c r="AG64" s="1" t="str">
        <f>IFERROR(INDEX(Recipes2[Component], Recipes2[[#This Row],[Selected Sorted]]), "")</f>
        <v/>
      </c>
      <c r="AH64" s="1" t="str">
        <f>IFERROR(INDEX(Recipes2[Quantity], Recipes2[[#This Row],[Selected Sorted]]), "")</f>
        <v/>
      </c>
    </row>
    <row r="65" spans="1:34" x14ac:dyDescent="0.25">
      <c r="A65" t="s">
        <v>43</v>
      </c>
      <c r="B65">
        <v>0.5</v>
      </c>
      <c r="C65">
        <f>MAX(Items[[#This Row],[Base Cycle Time]] / Items[[#This Row],[Speed]], MinInsertionTime) / Items[[#This Row],[Quantity Per Cycle]] / Items[[#This Row],[Bonus]]</f>
        <v>0.4</v>
      </c>
      <c r="D65" s="39">
        <v>1</v>
      </c>
      <c r="E65" t="s">
        <v>59</v>
      </c>
      <c r="F65" s="39">
        <f>INDEX(CraftingTypes[Speed], MATCH(Items[[#This Row],[Producer Type]], CraftingTypes[Producer Type], 0))</f>
        <v>1.25</v>
      </c>
      <c r="G65" s="39">
        <f>INDEX(CraftingTypes[Bonus], MATCH(Items[[#This Row],[Producer Type]], CraftingTypes[Producer Type], 0)) + 1</f>
        <v>1</v>
      </c>
      <c r="H65" s="38">
        <f>1 / Items[[#This Row],[Cycle Time for One]]</f>
        <v>2.5</v>
      </c>
      <c r="I65" s="36" t="b">
        <f>IFERROR(OR(Items[[#This Row],[Name]] = SelectedName, INDEX(CraftingTypes[Include], MATCH(Items[[#This Row],[Producer Type]], CraftingTypes[Producer Type], 0))), FALSE)</f>
        <v>1</v>
      </c>
      <c r="J65" s="38">
        <f>IF(Items[[#This Row],[Name]] = SelectedName, 1, IF(NOT(Items[[#This Row],[Include]]), 0, SUMIFS(RecipeTotals.Quantity, RecipeTotals.Name, SelectedName, RecipeTotals.Component, Items[[#This Row],[Name]])))</f>
        <v>0</v>
      </c>
      <c r="K65" s="38">
        <f>IFERROR(Items[[#This Row],[Selected Count]] / CycleTime.Actual, "")</f>
        <v>0</v>
      </c>
      <c r="L65" s="38">
        <f>IFERROR(Items[[#This Row],[Selected Per Second]] / Items[[#This Row],[Per Second]], "")</f>
        <v>0</v>
      </c>
      <c r="M65" s="38">
        <f>IFERROR(Items[[#This Row],[Selected Per Second]] / Items[[#This Row],[Per Second]], "")</f>
        <v>0</v>
      </c>
      <c r="N65" s="38">
        <f>IFERROR(CEILING(Items[[#This Row],[Fractional Producers for Selected Count]], 1), 0)</f>
        <v>0</v>
      </c>
      <c r="O65" s="38" t="str">
        <f>IF(AND(Items[[#This Row],[Producers For Selected Count]] &gt; 0, Items[[#This Row],[Include]]), ROW() - ROW(Items[#Headers]), "")</f>
        <v/>
      </c>
      <c r="P65" s="38" t="str">
        <f>IFERROR(SMALL(Items[Include Row Index], ROW() - ROW(Items[#Headers])), "")</f>
        <v/>
      </c>
      <c r="R65" t="s">
        <v>112</v>
      </c>
      <c r="S65" t="s">
        <v>82</v>
      </c>
      <c r="T65">
        <v>5</v>
      </c>
      <c r="U65" s="1" t="str">
        <f>IFERROR(IF(INDEX(Items[Selected Count], MATCH(Recipes[[#This Row],[Name]], Items[Name], 0)) &gt; 0, ROW() - ROW(Recipes[#Headers]), ""), "")</f>
        <v/>
      </c>
      <c r="V65" s="1" t="str">
        <f>IFERROR(SMALL(Recipes[Selected], ROW() - ROW(Recipes[#Headers])), "")</f>
        <v/>
      </c>
      <c r="W65" s="1" t="str">
        <f>IFERROR(INDEX(Recipes[Name], Recipes[[#This Row],[Selected Sorted]]), "")</f>
        <v/>
      </c>
      <c r="X65" s="1" t="str">
        <f>IFERROR(INDEX(Recipes[Component], Recipes[[#This Row],[Selected Sorted]]), "")</f>
        <v/>
      </c>
      <c r="Y65" s="1" t="str">
        <f>IFERROR(INDEX(Recipes[Quantity], Recipes[[#This Row],[Selected Sorted]]), "")</f>
        <v/>
      </c>
      <c r="AA65" t="s">
        <v>124</v>
      </c>
      <c r="AB65" t="s">
        <v>123</v>
      </c>
      <c r="AC65">
        <v>4</v>
      </c>
      <c r="AD65" s="1" t="str">
        <f>IFERROR(IF(INDEX(Items[Selected Count], MATCH(Recipes2[[#This Row],[Name]], Items[Name], 0)) &gt; 0, ROW() - ROW(Recipes2[#Headers]), ""), "")</f>
        <v/>
      </c>
      <c r="AE65" s="1" t="str">
        <f>IFERROR(SMALL(Recipes2[Selected], ROW() - ROW(Recipes2[#Headers])), "")</f>
        <v/>
      </c>
      <c r="AF65" s="1" t="str">
        <f>IFERROR(INDEX(Recipes2[Name], Recipes2[[#This Row],[Selected Sorted]]), "")</f>
        <v/>
      </c>
      <c r="AG65" s="1" t="str">
        <f>IFERROR(INDEX(Recipes2[Component], Recipes2[[#This Row],[Selected Sorted]]), "")</f>
        <v/>
      </c>
      <c r="AH65" s="1" t="str">
        <f>IFERROR(INDEX(Recipes2[Quantity], Recipes2[[#This Row],[Selected Sorted]]), "")</f>
        <v/>
      </c>
    </row>
    <row r="66" spans="1:34" x14ac:dyDescent="0.25">
      <c r="A66" t="s">
        <v>129</v>
      </c>
      <c r="B66">
        <v>30</v>
      </c>
      <c r="C66" s="1">
        <f>MAX(Items[[#This Row],[Base Cycle Time]] / Items[[#This Row],[Speed]], MinInsertionTime) / Items[[#This Row],[Quantity Per Cycle]] / Items[[#This Row],[Bonus]]</f>
        <v>24</v>
      </c>
      <c r="D66" s="39">
        <v>1</v>
      </c>
      <c r="E66" t="s">
        <v>59</v>
      </c>
      <c r="F66" s="38">
        <f>INDEX(CraftingTypes[Speed], MATCH(Items[[#This Row],[Producer Type]], CraftingTypes[Producer Type], 0))</f>
        <v>1.25</v>
      </c>
      <c r="G66" s="38">
        <f>INDEX(CraftingTypes[Bonus], MATCH(Items[[#This Row],[Producer Type]], CraftingTypes[Producer Type], 0)) + 1</f>
        <v>1</v>
      </c>
      <c r="H66" s="38">
        <f>1 / Items[[#This Row],[Cycle Time for One]]</f>
        <v>4.1666666666666664E-2</v>
      </c>
      <c r="I66" s="36" t="b">
        <f>IFERROR(OR(Items[[#This Row],[Name]] = SelectedName, INDEX(CraftingTypes[Include], MATCH(Items[[#This Row],[Producer Type]], CraftingTypes[Producer Type], 0))), FALSE)</f>
        <v>1</v>
      </c>
      <c r="J66" s="38">
        <f>IF(Items[[#This Row],[Name]] = SelectedName, 1, IF(NOT(Items[[#This Row],[Include]]), 0, SUMIFS(RecipeTotals.Quantity, RecipeTotals.Name, SelectedName, RecipeTotals.Component, Items[[#This Row],[Name]])))</f>
        <v>0</v>
      </c>
      <c r="K66" s="38">
        <f>IFERROR(Items[[#This Row],[Selected Count]] / CycleTime.Actual, "")</f>
        <v>0</v>
      </c>
      <c r="L66" s="38">
        <f>IFERROR(Items[[#This Row],[Selected Per Second]] / Items[[#This Row],[Per Second]], "")</f>
        <v>0</v>
      </c>
      <c r="M66" s="38">
        <f>IFERROR(Items[[#This Row],[Selected Per Second]] / Items[[#This Row],[Per Second]], "")</f>
        <v>0</v>
      </c>
      <c r="N66" s="38">
        <f>IFERROR(CEILING(Items[[#This Row],[Fractional Producers for Selected Count]], 1), 0)</f>
        <v>0</v>
      </c>
      <c r="O66" s="38" t="str">
        <f>IF(AND(Items[[#This Row],[Producers For Selected Count]] &gt; 0, Items[[#This Row],[Include]]), ROW() - ROW(Items[#Headers]), "")</f>
        <v/>
      </c>
      <c r="P66" s="38" t="str">
        <f>IFERROR(SMALL(Items[Include Row Index], ROW() - ROW(Items[#Headers])), "")</f>
        <v/>
      </c>
      <c r="R66" t="s">
        <v>113</v>
      </c>
      <c r="S66" t="s">
        <v>6</v>
      </c>
      <c r="T66">
        <v>5</v>
      </c>
      <c r="U66" s="1" t="str">
        <f>IFERROR(IF(INDEX(Items[Selected Count], MATCH(Recipes[[#This Row],[Name]], Items[Name], 0)) &gt; 0, ROW() - ROW(Recipes[#Headers]), ""), "")</f>
        <v/>
      </c>
      <c r="V66" s="1" t="str">
        <f>IFERROR(SMALL(Recipes[Selected], ROW() - ROW(Recipes[#Headers])), "")</f>
        <v/>
      </c>
      <c r="W66" s="1" t="str">
        <f>IFERROR(INDEX(Recipes[Name], Recipes[[#This Row],[Selected Sorted]]), "")</f>
        <v/>
      </c>
      <c r="X66" s="1" t="str">
        <f>IFERROR(INDEX(Recipes[Component], Recipes[[#This Row],[Selected Sorted]]), "")</f>
        <v/>
      </c>
      <c r="Y66" s="1" t="str">
        <f>IFERROR(INDEX(Recipes[Quantity], Recipes[[#This Row],[Selected Sorted]]), "")</f>
        <v/>
      </c>
      <c r="AA66" t="s">
        <v>112</v>
      </c>
      <c r="AB66" t="s">
        <v>116</v>
      </c>
      <c r="AC66">
        <v>4</v>
      </c>
      <c r="AD66" s="1" t="str">
        <f>IFERROR(IF(INDEX(Items[Selected Count], MATCH(Recipes2[[#This Row],[Name]], Items[Name], 0)) &gt; 0, ROW() - ROW(Recipes2[#Headers]), ""), "")</f>
        <v/>
      </c>
      <c r="AE66" s="1" t="str">
        <f>IFERROR(SMALL(Recipes2[Selected], ROW() - ROW(Recipes2[#Headers])), "")</f>
        <v/>
      </c>
      <c r="AF66" s="1" t="str">
        <f>IFERROR(INDEX(Recipes2[Name], Recipes2[[#This Row],[Selected Sorted]]), "")</f>
        <v/>
      </c>
      <c r="AG66" s="1" t="str">
        <f>IFERROR(INDEX(Recipes2[Component], Recipes2[[#This Row],[Selected Sorted]]), "")</f>
        <v/>
      </c>
      <c r="AH66" s="1" t="str">
        <f>IFERROR(INDEX(Recipes2[Quantity], Recipes2[[#This Row],[Selected Sorted]]), "")</f>
        <v/>
      </c>
    </row>
    <row r="67" spans="1:34" x14ac:dyDescent="0.25">
      <c r="A67" t="s">
        <v>33</v>
      </c>
      <c r="B67">
        <v>1</v>
      </c>
      <c r="C67">
        <f>MAX(Items[[#This Row],[Base Cycle Time]] / Items[[#This Row],[Speed]], MinInsertionTime) / Items[[#This Row],[Quantity Per Cycle]] / Items[[#This Row],[Bonus]]</f>
        <v>3.2000000000000001E-2</v>
      </c>
      <c r="D67" s="39">
        <v>10</v>
      </c>
      <c r="E67" t="s">
        <v>60</v>
      </c>
      <c r="F67" s="39">
        <f>INDEX(CraftingTypes[Speed], MATCH(Items[[#This Row],[Producer Type]], CraftingTypes[Producer Type], 0))</f>
        <v>3.125</v>
      </c>
      <c r="G67" s="39">
        <f>INDEX(CraftingTypes[Bonus], MATCH(Items[[#This Row],[Producer Type]], CraftingTypes[Producer Type], 0)) + 1</f>
        <v>1</v>
      </c>
      <c r="H67" s="38">
        <f>1 / Items[[#This Row],[Cycle Time for One]]</f>
        <v>31.25</v>
      </c>
      <c r="I67" s="36" t="b">
        <f>IFERROR(OR(Items[[#This Row],[Name]] = SelectedName, INDEX(CraftingTypes[Include], MATCH(Items[[#This Row],[Producer Type]], CraftingTypes[Producer Type], 0))), FALSE)</f>
        <v>1</v>
      </c>
      <c r="J67" s="38">
        <f>IF(Items[[#This Row],[Name]] = SelectedName, 1, IF(NOT(Items[[#This Row],[Include]]), 0, SUMIFS(RecipeTotals.Quantity, RecipeTotals.Name, SelectedName, RecipeTotals.Component, Items[[#This Row],[Name]])))</f>
        <v>0</v>
      </c>
      <c r="K67" s="38">
        <f>IFERROR(Items[[#This Row],[Selected Count]] / CycleTime.Actual, "")</f>
        <v>0</v>
      </c>
      <c r="L67" s="38">
        <f>IFERROR(Items[[#This Row],[Selected Per Second]] / Items[[#This Row],[Per Second]], "")</f>
        <v>0</v>
      </c>
      <c r="M67" s="38">
        <f>IFERROR(Items[[#This Row],[Selected Per Second]] / Items[[#This Row],[Per Second]], "")</f>
        <v>0</v>
      </c>
      <c r="N67" s="38">
        <f>IFERROR(CEILING(Items[[#This Row],[Fractional Producers for Selected Count]], 1), 0)</f>
        <v>0</v>
      </c>
      <c r="O67" s="38" t="str">
        <f>IF(AND(Items[[#This Row],[Producers For Selected Count]] &gt; 0, Items[[#This Row],[Include]]), ROW() - ROW(Items[#Headers]), "")</f>
        <v/>
      </c>
      <c r="P67" s="38" t="str">
        <f>IFERROR(SMALL(Items[Include Row Index], ROW() - ROW(Items[#Headers])), "")</f>
        <v/>
      </c>
      <c r="R67" t="s">
        <v>113</v>
      </c>
      <c r="S67" t="s">
        <v>112</v>
      </c>
      <c r="T67">
        <v>5</v>
      </c>
      <c r="U67" s="1" t="str">
        <f>IFERROR(IF(INDEX(Items[Selected Count], MATCH(Recipes[[#This Row],[Name]], Items[Name], 0)) &gt; 0, ROW() - ROW(Recipes[#Headers]), ""), "")</f>
        <v/>
      </c>
      <c r="V67" s="1" t="str">
        <f>IFERROR(SMALL(Recipes[Selected], ROW() - ROW(Recipes[#Headers])), "")</f>
        <v/>
      </c>
      <c r="W67" s="1" t="str">
        <f>IFERROR(INDEX(Recipes[Name], Recipes[[#This Row],[Selected Sorted]]), "")</f>
        <v/>
      </c>
      <c r="X67" s="1" t="str">
        <f>IFERROR(INDEX(Recipes[Component], Recipes[[#This Row],[Selected Sorted]]), "")</f>
        <v/>
      </c>
      <c r="Y67" s="1" t="str">
        <f>IFERROR(INDEX(Recipes[Quantity], Recipes[[#This Row],[Selected Sorted]]), "")</f>
        <v/>
      </c>
      <c r="AA67" t="s">
        <v>113</v>
      </c>
      <c r="AB67" t="s">
        <v>112</v>
      </c>
      <c r="AC67">
        <v>5</v>
      </c>
      <c r="AD67" s="1" t="str">
        <f>IFERROR(IF(INDEX(Items[Selected Count], MATCH(Recipes2[[#This Row],[Name]], Items[Name], 0)) &gt; 0, ROW() - ROW(Recipes2[#Headers]), ""), "")</f>
        <v/>
      </c>
      <c r="AE67" s="1" t="str">
        <f>IFERROR(SMALL(Recipes2[Selected], ROW() - ROW(Recipes2[#Headers])), "")</f>
        <v/>
      </c>
      <c r="AF67" s="1" t="str">
        <f>IFERROR(INDEX(Recipes2[Name], Recipes2[[#This Row],[Selected Sorted]]), "")</f>
        <v/>
      </c>
      <c r="AG67" s="1" t="str">
        <f>IFERROR(INDEX(Recipes2[Component], Recipes2[[#This Row],[Selected Sorted]]), "")</f>
        <v/>
      </c>
      <c r="AH67" s="1" t="str">
        <f>IFERROR(INDEX(Recipes2[Quantity], Recipes2[[#This Row],[Selected Sorted]]), "")</f>
        <v/>
      </c>
    </row>
    <row r="68" spans="1:34" x14ac:dyDescent="0.25">
      <c r="A68" t="s">
        <v>39</v>
      </c>
      <c r="B68">
        <v>0.5</v>
      </c>
      <c r="C68">
        <f>MAX(Items[[#This Row],[Base Cycle Time]] / Items[[#This Row],[Speed]], MinInsertionTime) / Items[[#This Row],[Quantity Per Cycle]] / Items[[#This Row],[Bonus]]</f>
        <v>0.4</v>
      </c>
      <c r="D68" s="39">
        <v>1</v>
      </c>
      <c r="E68" t="s">
        <v>59</v>
      </c>
      <c r="F68" s="39">
        <f>INDEX(CraftingTypes[Speed], MATCH(Items[[#This Row],[Producer Type]], CraftingTypes[Producer Type], 0))</f>
        <v>1.25</v>
      </c>
      <c r="G68" s="39">
        <f>INDEX(CraftingTypes[Bonus], MATCH(Items[[#This Row],[Producer Type]], CraftingTypes[Producer Type], 0)) + 1</f>
        <v>1</v>
      </c>
      <c r="H68" s="38">
        <f>1 / Items[[#This Row],[Cycle Time for One]]</f>
        <v>2.5</v>
      </c>
      <c r="I68" s="36" t="b">
        <f>IFERROR(OR(Items[[#This Row],[Name]] = SelectedName, INDEX(CraftingTypes[Include], MATCH(Items[[#This Row],[Producer Type]], CraftingTypes[Producer Type], 0))), FALSE)</f>
        <v>1</v>
      </c>
      <c r="J68" s="38">
        <f>IF(Items[[#This Row],[Name]] = SelectedName, 1, IF(NOT(Items[[#This Row],[Include]]), 0, SUMIFS(RecipeTotals.Quantity, RecipeTotals.Name, SelectedName, RecipeTotals.Component, Items[[#This Row],[Name]])))</f>
        <v>0</v>
      </c>
      <c r="K68" s="38">
        <f>IFERROR(Items[[#This Row],[Selected Count]] / CycleTime.Actual, "")</f>
        <v>0</v>
      </c>
      <c r="L68" s="38">
        <f>IFERROR(Items[[#This Row],[Selected Per Second]] / Items[[#This Row],[Per Second]], "")</f>
        <v>0</v>
      </c>
      <c r="M68" s="38">
        <f>IFERROR(Items[[#This Row],[Selected Per Second]] / Items[[#This Row],[Per Second]], "")</f>
        <v>0</v>
      </c>
      <c r="N68" s="38">
        <f>IFERROR(CEILING(Items[[#This Row],[Fractional Producers for Selected Count]], 1), 0)</f>
        <v>0</v>
      </c>
      <c r="O68" s="38" t="str">
        <f>IF(AND(Items[[#This Row],[Producers For Selected Count]] &gt; 0, Items[[#This Row],[Include]]), ROW() - ROW(Items[#Headers]), "")</f>
        <v/>
      </c>
      <c r="P68" s="38" t="str">
        <f>IFERROR(SMALL(Items[Include Row Index], ROW() - ROW(Items[#Headers])), "")</f>
        <v/>
      </c>
      <c r="R68" t="s">
        <v>113</v>
      </c>
      <c r="S68" t="s">
        <v>82</v>
      </c>
      <c r="T68">
        <v>5</v>
      </c>
      <c r="U68" s="1" t="str">
        <f>IFERROR(IF(INDEX(Items[Selected Count], MATCH(Recipes[[#This Row],[Name]], Items[Name], 0)) &gt; 0, ROW() - ROW(Recipes[#Headers]), ""), "")</f>
        <v/>
      </c>
      <c r="V68" s="1" t="str">
        <f>IFERROR(SMALL(Recipes[Selected], ROW() - ROW(Recipes[#Headers])), "")</f>
        <v/>
      </c>
      <c r="W68" s="1" t="str">
        <f>IFERROR(INDEX(Recipes[Name], Recipes[[#This Row],[Selected Sorted]]), "")</f>
        <v/>
      </c>
      <c r="X68" s="1" t="str">
        <f>IFERROR(INDEX(Recipes[Component], Recipes[[#This Row],[Selected Sorted]]), "")</f>
        <v/>
      </c>
      <c r="Y68" s="1" t="str">
        <f>IFERROR(INDEX(Recipes[Quantity], Recipes[[#This Row],[Selected Sorted]]), "")</f>
        <v/>
      </c>
      <c r="AA68" t="s">
        <v>55</v>
      </c>
      <c r="AB68" t="s">
        <v>54</v>
      </c>
      <c r="AC68">
        <v>1</v>
      </c>
      <c r="AD68" t="str">
        <f>IFERROR(IF(INDEX(Items[Selected Count], MATCH(Recipes2[[#This Row],[Name]], Items[Name], 0)) &gt; 0, ROW() - ROW(Recipes2[#Headers]), ""), "")</f>
        <v/>
      </c>
      <c r="AE68" t="str">
        <f>IFERROR(SMALL(Recipes2[Selected], ROW() - ROW(Recipes2[#Headers])), "")</f>
        <v/>
      </c>
      <c r="AF68" t="str">
        <f>IFERROR(INDEX(Recipes2[Name], Recipes2[[#This Row],[Selected Sorted]]), "")</f>
        <v/>
      </c>
      <c r="AG68" t="str">
        <f>IFERROR(INDEX(Recipes2[Component], Recipes2[[#This Row],[Selected Sorted]]), "")</f>
        <v/>
      </c>
      <c r="AH68" s="1" t="str">
        <f>IFERROR(INDEX(Recipes2[Quantity], Recipes2[[#This Row],[Selected Sorted]]), "")</f>
        <v/>
      </c>
    </row>
    <row r="69" spans="1:34" x14ac:dyDescent="0.25">
      <c r="A69" t="s">
        <v>70</v>
      </c>
      <c r="B69">
        <v>10</v>
      </c>
      <c r="C69">
        <f>MAX(Items[[#This Row],[Base Cycle Time]] / Items[[#This Row],[Speed]], MinInsertionTime) / Items[[#This Row],[Quantity Per Cycle]] / Items[[#This Row],[Bonus]]</f>
        <v>4</v>
      </c>
      <c r="D69" s="39">
        <v>2</v>
      </c>
      <c r="E69" t="s">
        <v>59</v>
      </c>
      <c r="F69" s="39">
        <f>INDEX(CraftingTypes[Speed], MATCH(Items[[#This Row],[Producer Type]], CraftingTypes[Producer Type], 0))</f>
        <v>1.25</v>
      </c>
      <c r="G69" s="39">
        <f>INDEX(CraftingTypes[Bonus], MATCH(Items[[#This Row],[Producer Type]], CraftingTypes[Producer Type], 0)) + 1</f>
        <v>1</v>
      </c>
      <c r="H69" s="38">
        <f>1 / Items[[#This Row],[Cycle Time for One]]</f>
        <v>0.25</v>
      </c>
      <c r="I69" s="36" t="b">
        <f>IFERROR(OR(Items[[#This Row],[Name]] = SelectedName, INDEX(CraftingTypes[Include], MATCH(Items[[#This Row],[Producer Type]], CraftingTypes[Producer Type], 0))), FALSE)</f>
        <v>1</v>
      </c>
      <c r="J69" s="38">
        <f>IF(Items[[#This Row],[Name]] = SelectedName, 1, IF(NOT(Items[[#This Row],[Include]]), 0, SUMIFS(RecipeTotals.Quantity, RecipeTotals.Name, SelectedName, RecipeTotals.Component, Items[[#This Row],[Name]])))</f>
        <v>0</v>
      </c>
      <c r="K69" s="38">
        <f>IFERROR(Items[[#This Row],[Selected Count]] / CycleTime.Actual, "")</f>
        <v>0</v>
      </c>
      <c r="L69" s="38">
        <f>IFERROR(Items[[#This Row],[Selected Per Second]] / Items[[#This Row],[Per Second]], "")</f>
        <v>0</v>
      </c>
      <c r="M69" s="38">
        <f>IFERROR(Items[[#This Row],[Selected Per Second]] / Items[[#This Row],[Per Second]], "")</f>
        <v>0</v>
      </c>
      <c r="N69" s="38">
        <f>IFERROR(CEILING(Items[[#This Row],[Fractional Producers for Selected Count]], 1), 0)</f>
        <v>0</v>
      </c>
      <c r="O69" s="38" t="str">
        <f>IF(AND(Items[[#This Row],[Producers For Selected Count]] &gt; 0, Items[[#This Row],[Include]]), ROW() - ROW(Items[#Headers]), "")</f>
        <v/>
      </c>
      <c r="P69" s="38" t="str">
        <f>IFERROR(SMALL(Items[Include Row Index], ROW() - ROW(Items[#Headers])), "")</f>
        <v/>
      </c>
      <c r="R69" t="s">
        <v>54</v>
      </c>
      <c r="S69" t="s">
        <v>5</v>
      </c>
      <c r="T69">
        <v>2</v>
      </c>
      <c r="U69" t="str">
        <f>IFERROR(IF(INDEX(Items[Selected Count], MATCH(Recipes[[#This Row],[Name]], Items[Name], 0)) &gt; 0, ROW() - ROW(Recipes[#Headers]), ""), "")</f>
        <v/>
      </c>
      <c r="V69" t="str">
        <f>IFERROR(SMALL(Recipes[Selected], ROW() - ROW(Recipes[#Headers])), "")</f>
        <v/>
      </c>
      <c r="W69" t="str">
        <f>IFERROR(INDEX(Recipes[Name], Recipes[[#This Row],[Selected Sorted]]), "")</f>
        <v/>
      </c>
      <c r="X69" t="str">
        <f>IFERROR(INDEX(Recipes[Component], Recipes[[#This Row],[Selected Sorted]]), "")</f>
        <v/>
      </c>
      <c r="Y69" s="1" t="str">
        <f>IFERROR(INDEX(Recipes[Quantity], Recipes[[#This Row],[Selected Sorted]]), "")</f>
        <v/>
      </c>
      <c r="AA69" t="s">
        <v>78</v>
      </c>
      <c r="AB69" t="s">
        <v>54</v>
      </c>
      <c r="AC69">
        <v>1</v>
      </c>
      <c r="AD69" s="1" t="str">
        <f>IFERROR(IF(INDEX(Items[Selected Count], MATCH(Recipes2[[#This Row],[Name]], Items[Name], 0)) &gt; 0, ROW() - ROW(Recipes2[#Headers]), ""), "")</f>
        <v/>
      </c>
      <c r="AE69" s="1" t="str">
        <f>IFERROR(SMALL(Recipes2[Selected], ROW() - ROW(Recipes2[#Headers])), "")</f>
        <v/>
      </c>
      <c r="AF69" s="1" t="str">
        <f>IFERROR(INDEX(Recipes2[Name], Recipes2[[#This Row],[Selected Sorted]]), "")</f>
        <v/>
      </c>
      <c r="AG69" s="1" t="str">
        <f>IFERROR(INDEX(Recipes2[Component], Recipes2[[#This Row],[Selected Sorted]]), "")</f>
        <v/>
      </c>
      <c r="AH69" s="1" t="str">
        <f>IFERROR(INDEX(Recipes2[Quantity], Recipes2[[#This Row],[Selected Sorted]]), "")</f>
        <v/>
      </c>
    </row>
    <row r="70" spans="1:34" x14ac:dyDescent="0.25">
      <c r="A70" t="s">
        <v>145</v>
      </c>
      <c r="B70">
        <v>4</v>
      </c>
      <c r="C70" s="1">
        <f>MAX(Items[[#This Row],[Base Cycle Time]] / Items[[#This Row],[Speed]], MinInsertionTime) / Items[[#This Row],[Quantity Per Cycle]] / Items[[#This Row],[Bonus]]</f>
        <v>3.2</v>
      </c>
      <c r="D70" s="39">
        <v>1</v>
      </c>
      <c r="E70" t="s">
        <v>59</v>
      </c>
      <c r="F70" s="38">
        <f>INDEX(CraftingTypes[Speed], MATCH(Items[[#This Row],[Producer Type]], CraftingTypes[Producer Type], 0))</f>
        <v>1.25</v>
      </c>
      <c r="G70" s="38">
        <f>INDEX(CraftingTypes[Bonus], MATCH(Items[[#This Row],[Producer Type]], CraftingTypes[Producer Type], 0)) + 1</f>
        <v>1</v>
      </c>
      <c r="H70" s="38">
        <f>1 / Items[[#This Row],[Cycle Time for One]]</f>
        <v>0.3125</v>
      </c>
      <c r="I70" s="36" t="b">
        <f>IFERROR(OR(Items[[#This Row],[Name]] = SelectedName, INDEX(CraftingTypes[Include], MATCH(Items[[#This Row],[Producer Type]], CraftingTypes[Producer Type], 0))), FALSE)</f>
        <v>1</v>
      </c>
      <c r="J70" s="38">
        <f>IF(Items[[#This Row],[Name]] = SelectedName, 1, IF(NOT(Items[[#This Row],[Include]]), 0, SUMIFS(RecipeTotals.Quantity, RecipeTotals.Name, SelectedName, RecipeTotals.Component, Items[[#This Row],[Name]])))</f>
        <v>0</v>
      </c>
      <c r="K70" s="38">
        <f>IFERROR(Items[[#This Row],[Selected Count]] / CycleTime.Actual, "")</f>
        <v>0</v>
      </c>
      <c r="L70" s="38">
        <f>IFERROR(Items[[#This Row],[Selected Per Second]] / Items[[#This Row],[Per Second]], "")</f>
        <v>0</v>
      </c>
      <c r="M70" s="38">
        <f>IFERROR(Items[[#This Row],[Selected Per Second]] / Items[[#This Row],[Per Second]], "")</f>
        <v>0</v>
      </c>
      <c r="N70" s="38">
        <f>IFERROR(CEILING(Items[[#This Row],[Fractional Producers for Selected Count]], 1), 0)</f>
        <v>0</v>
      </c>
      <c r="O70" s="38" t="str">
        <f>IF(AND(Items[[#This Row],[Producers For Selected Count]] &gt; 0, Items[[#This Row],[Include]]), ROW() - ROW(Items[#Headers]), "")</f>
        <v/>
      </c>
      <c r="P70" s="38" t="str">
        <f>IFERROR(SMALL(Items[Include Row Index], ROW() - ROW(Items[#Headers])), "")</f>
        <v/>
      </c>
      <c r="R70" t="s">
        <v>54</v>
      </c>
      <c r="S70" t="s">
        <v>53</v>
      </c>
      <c r="T70">
        <v>1</v>
      </c>
      <c r="U70" t="str">
        <f>IFERROR(IF(INDEX(Items[Selected Count], MATCH(Recipes[[#This Row],[Name]], Items[Name], 0)) &gt; 0, ROW() - ROW(Recipes[#Headers]), ""), "")</f>
        <v/>
      </c>
      <c r="V70" t="str">
        <f>IFERROR(SMALL(Recipes[Selected], ROW() - ROW(Recipes[#Headers])), "")</f>
        <v/>
      </c>
      <c r="W70" t="str">
        <f>IFERROR(INDEX(Recipes[Name], Recipes[[#This Row],[Selected Sorted]]), "")</f>
        <v/>
      </c>
      <c r="X70" t="str">
        <f>IFERROR(INDEX(Recipes[Component], Recipes[[#This Row],[Selected Sorted]]), "")</f>
        <v/>
      </c>
      <c r="Y70" s="1" t="str">
        <f>IFERROR(INDEX(Recipes[Quantity], Recipes[[#This Row],[Selected Sorted]]), "")</f>
        <v/>
      </c>
      <c r="AA70" t="s">
        <v>78</v>
      </c>
      <c r="AB70" t="s">
        <v>80</v>
      </c>
      <c r="AC70">
        <v>1</v>
      </c>
      <c r="AD70" s="1" t="str">
        <f>IFERROR(IF(INDEX(Items[Selected Count], MATCH(Recipes2[[#This Row],[Name]], Items[Name], 0)) &gt; 0, ROW() - ROW(Recipes2[#Headers]), ""), "")</f>
        <v/>
      </c>
      <c r="AE70" s="1" t="str">
        <f>IFERROR(SMALL(Recipes2[Selected], ROW() - ROW(Recipes2[#Headers])), "")</f>
        <v/>
      </c>
      <c r="AF70" s="1" t="str">
        <f>IFERROR(INDEX(Recipes2[Name], Recipes2[[#This Row],[Selected Sorted]]), "")</f>
        <v/>
      </c>
      <c r="AG70" s="1" t="str">
        <f>IFERROR(INDEX(Recipes2[Component], Recipes2[[#This Row],[Selected Sorted]]), "")</f>
        <v/>
      </c>
      <c r="AH70" s="1" t="str">
        <f>IFERROR(INDEX(Recipes2[Quantity], Recipes2[[#This Row],[Selected Sorted]]), "")</f>
        <v/>
      </c>
    </row>
    <row r="71" spans="1:34" x14ac:dyDescent="0.25">
      <c r="A71" t="s">
        <v>102</v>
      </c>
      <c r="B71">
        <v>0.5</v>
      </c>
      <c r="C71" s="1">
        <f>MAX(Items[[#This Row],[Base Cycle Time]] / Items[[#This Row],[Speed]], MinInsertionTime) / Items[[#This Row],[Quantity Per Cycle]] / Items[[#This Row],[Bonus]]</f>
        <v>0.4</v>
      </c>
      <c r="D71" s="39">
        <v>1</v>
      </c>
      <c r="E71" t="s">
        <v>59</v>
      </c>
      <c r="F71" s="38">
        <f>INDEX(CraftingTypes[Speed], MATCH(Items[[#This Row],[Producer Type]], CraftingTypes[Producer Type], 0))</f>
        <v>1.25</v>
      </c>
      <c r="G71" s="38">
        <f>INDEX(CraftingTypes[Bonus], MATCH(Items[[#This Row],[Producer Type]], CraftingTypes[Producer Type], 0)) + 1</f>
        <v>1</v>
      </c>
      <c r="H71" s="38">
        <f>1 / Items[[#This Row],[Cycle Time for One]]</f>
        <v>2.5</v>
      </c>
      <c r="I71" s="36" t="b">
        <f>IFERROR(OR(Items[[#This Row],[Name]] = SelectedName, INDEX(CraftingTypes[Include], MATCH(Items[[#This Row],[Producer Type]], CraftingTypes[Producer Type], 0))), FALSE)</f>
        <v>1</v>
      </c>
      <c r="J71" s="38">
        <f>IF(Items[[#This Row],[Name]] = SelectedName, 1, IF(NOT(Items[[#This Row],[Include]]), 0, SUMIFS(RecipeTotals.Quantity, RecipeTotals.Name, SelectedName, RecipeTotals.Component, Items[[#This Row],[Name]])))</f>
        <v>0</v>
      </c>
      <c r="K71" s="38">
        <f>IFERROR(Items[[#This Row],[Selected Count]] / CycleTime.Actual, "")</f>
        <v>0</v>
      </c>
      <c r="L71" s="38">
        <f>IFERROR(Items[[#This Row],[Selected Per Second]] / Items[[#This Row],[Per Second]], "")</f>
        <v>0</v>
      </c>
      <c r="M71" s="38">
        <f>IFERROR(Items[[#This Row],[Selected Per Second]] / Items[[#This Row],[Per Second]], "")</f>
        <v>0</v>
      </c>
      <c r="N71" s="38">
        <f>IFERROR(CEILING(Items[[#This Row],[Fractional Producers for Selected Count]], 1), 0)</f>
        <v>0</v>
      </c>
      <c r="O71" s="38" t="str">
        <f>IF(AND(Items[[#This Row],[Producers For Selected Count]] &gt; 0, Items[[#This Row],[Include]]), ROW() - ROW(Items[#Headers]), "")</f>
        <v/>
      </c>
      <c r="P71" s="38" t="str">
        <f>IFERROR(SMALL(Items[Include Row Index], ROW() - ROW(Items[#Headers])), "")</f>
        <v/>
      </c>
      <c r="R71" t="s">
        <v>54</v>
      </c>
      <c r="S71" t="s">
        <v>33</v>
      </c>
      <c r="T71">
        <v>15</v>
      </c>
      <c r="U71" t="str">
        <f>IFERROR(IF(INDEX(Items[Selected Count], MATCH(Recipes[[#This Row],[Name]], Items[Name], 0)) &gt; 0, ROW() - ROW(Recipes[#Headers]), ""), "")</f>
        <v/>
      </c>
      <c r="V71" t="str">
        <f>IFERROR(SMALL(Recipes[Selected], ROW() - ROW(Recipes[#Headers])), "")</f>
        <v/>
      </c>
      <c r="W71" t="str">
        <f>IFERROR(INDEX(Recipes[Name], Recipes[[#This Row],[Selected Sorted]]), "")</f>
        <v/>
      </c>
      <c r="X71" t="str">
        <f>IFERROR(INDEX(Recipes[Component], Recipes[[#This Row],[Selected Sorted]]), "")</f>
        <v/>
      </c>
      <c r="Y71" s="1" t="str">
        <f>IFERROR(INDEX(Recipes[Quantity], Recipes[[#This Row],[Selected Sorted]]), "")</f>
        <v/>
      </c>
      <c r="AA71" t="s">
        <v>50</v>
      </c>
      <c r="AB71" t="s">
        <v>87</v>
      </c>
      <c r="AC71">
        <v>1</v>
      </c>
      <c r="AD71" t="str">
        <f>IFERROR(IF(INDEX(Items[Selected Count], MATCH(Recipes2[[#This Row],[Name]], Items[Name], 0)) &gt; 0, ROW() - ROW(Recipes2[#Headers]), ""), "")</f>
        <v/>
      </c>
      <c r="AE71" t="str">
        <f>IFERROR(SMALL(Recipes2[Selected], ROW() - ROW(Recipes2[#Headers])), "")</f>
        <v/>
      </c>
      <c r="AF71" t="str">
        <f>IFERROR(INDEX(Recipes2[Name], Recipes2[[#This Row],[Selected Sorted]]), "")</f>
        <v/>
      </c>
      <c r="AG71" t="str">
        <f>IFERROR(INDEX(Recipes2[Component], Recipes2[[#This Row],[Selected Sorted]]), "")</f>
        <v/>
      </c>
      <c r="AH71" s="1" t="str">
        <f>IFERROR(INDEX(Recipes2[Quantity], Recipes2[[#This Row],[Selected Sorted]]), "")</f>
        <v/>
      </c>
    </row>
    <row r="72" spans="1:34" x14ac:dyDescent="0.25">
      <c r="A72" t="s">
        <v>66</v>
      </c>
      <c r="B72">
        <v>10</v>
      </c>
      <c r="C72" s="1">
        <f>MAX(Items[[#This Row],[Base Cycle Time]] / Items[[#This Row],[Speed]], MinInsertionTime) / Items[[#This Row],[Quantity Per Cycle]] / Items[[#This Row],[Bonus]]</f>
        <v>8</v>
      </c>
      <c r="D72" s="39">
        <v>1</v>
      </c>
      <c r="E72" t="s">
        <v>59</v>
      </c>
      <c r="F72" s="38">
        <f>INDEX(CraftingTypes[Speed], MATCH(Items[[#This Row],[Producer Type]], CraftingTypes[Producer Type], 0))</f>
        <v>1.25</v>
      </c>
      <c r="G72" s="38">
        <f>INDEX(CraftingTypes[Bonus], MATCH(Items[[#This Row],[Producer Type]], CraftingTypes[Producer Type], 0)) + 1</f>
        <v>1</v>
      </c>
      <c r="H72" s="38">
        <f>1 / Items[[#This Row],[Cycle Time for One]]</f>
        <v>0.125</v>
      </c>
      <c r="I72" s="36" t="b">
        <f>IFERROR(OR(Items[[#This Row],[Name]] = SelectedName, INDEX(CraftingTypes[Include], MATCH(Items[[#This Row],[Producer Type]], CraftingTypes[Producer Type], 0))), FALSE)</f>
        <v>1</v>
      </c>
      <c r="J72" s="38">
        <f>IF(Items[[#This Row],[Name]] = SelectedName, 1, IF(NOT(Items[[#This Row],[Include]]), 0, SUMIFS(RecipeTotals.Quantity, RecipeTotals.Name, SelectedName, RecipeTotals.Component, Items[[#This Row],[Name]])))</f>
        <v>0</v>
      </c>
      <c r="K72" s="38">
        <f>IFERROR(Items[[#This Row],[Selected Count]] / CycleTime.Actual, "")</f>
        <v>0</v>
      </c>
      <c r="L72" s="38">
        <f>IFERROR(Items[[#This Row],[Selected Per Second]] / Items[[#This Row],[Per Second]], "")</f>
        <v>0</v>
      </c>
      <c r="M72" s="38">
        <f>IFERROR(Items[[#This Row],[Selected Per Second]] / Items[[#This Row],[Per Second]], "")</f>
        <v>0</v>
      </c>
      <c r="N72" s="38">
        <f>IFERROR(CEILING(Items[[#This Row],[Fractional Producers for Selected Count]], 1), 0)</f>
        <v>0</v>
      </c>
      <c r="O72" s="38" t="str">
        <f>IF(AND(Items[[#This Row],[Producers For Selected Count]] &gt; 0, Items[[#This Row],[Include]]), ROW() - ROW(Items[#Headers]), "")</f>
        <v/>
      </c>
      <c r="P72" s="38" t="str">
        <f>IFERROR(SMALL(Items[Include Row Index], ROW() - ROW(Items[#Headers])), "")</f>
        <v/>
      </c>
      <c r="R72" t="s">
        <v>80</v>
      </c>
      <c r="S72" t="s">
        <v>6</v>
      </c>
      <c r="T72">
        <v>5</v>
      </c>
      <c r="U72" s="1" t="str">
        <f>IFERROR(IF(INDEX(Items[Selected Count], MATCH(Recipes[[#This Row],[Name]], Items[Name], 0)) &gt; 0, ROW() - ROW(Recipes[#Headers]), ""), "")</f>
        <v/>
      </c>
      <c r="V72" s="1" t="str">
        <f>IFERROR(SMALL(Recipes[Selected], ROW() - ROW(Recipes[#Headers])), "")</f>
        <v/>
      </c>
      <c r="W72" s="1" t="str">
        <f>IFERROR(INDEX(Recipes[Name], Recipes[[#This Row],[Selected Sorted]]), "")</f>
        <v/>
      </c>
      <c r="X72" s="1" t="str">
        <f>IFERROR(INDEX(Recipes[Component], Recipes[[#This Row],[Selected Sorted]]), "")</f>
        <v/>
      </c>
      <c r="Y72" s="1" t="str">
        <f>IFERROR(INDEX(Recipes[Quantity], Recipes[[#This Row],[Selected Sorted]]), "")</f>
        <v/>
      </c>
      <c r="AA72" t="s">
        <v>163</v>
      </c>
      <c r="AB72" t="s">
        <v>5</v>
      </c>
      <c r="AC72">
        <v>3</v>
      </c>
      <c r="AD72" s="1" t="str">
        <f>IFERROR(IF(INDEX(Items[Selected Count], MATCH(Recipes2[[#This Row],[Name]], Items[Name], 0)) &gt; 0, ROW() - ROW(Recipes2[#Headers]), ""), "")</f>
        <v/>
      </c>
      <c r="AE72" s="1" t="str">
        <f>IFERROR(SMALL(Recipes2[Selected], ROW() - ROW(Recipes2[#Headers])), "")</f>
        <v/>
      </c>
      <c r="AF72" s="1" t="str">
        <f>IFERROR(INDEX(Recipes2[Name], Recipes2[[#This Row],[Selected Sorted]]), "")</f>
        <v/>
      </c>
      <c r="AG72" s="1" t="str">
        <f>IFERROR(INDEX(Recipes2[Component], Recipes2[[#This Row],[Selected Sorted]]), "")</f>
        <v/>
      </c>
      <c r="AH72" s="1" t="str">
        <f>IFERROR(INDEX(Recipes2[Quantity], Recipes2[[#This Row],[Selected Sorted]]), "")</f>
        <v/>
      </c>
    </row>
    <row r="73" spans="1:34" x14ac:dyDescent="0.25">
      <c r="A73" t="s">
        <v>164</v>
      </c>
      <c r="B73">
        <v>0.5</v>
      </c>
      <c r="C73" s="1">
        <f>MAX(Items[[#This Row],[Base Cycle Time]] / Items[[#This Row],[Speed]], MinInsertionTime) / Items[[#This Row],[Quantity Per Cycle]] / Items[[#This Row],[Bonus]]</f>
        <v>0.4</v>
      </c>
      <c r="D73" s="39">
        <v>1</v>
      </c>
      <c r="E73" t="s">
        <v>59</v>
      </c>
      <c r="F73" s="38">
        <f>INDEX(CraftingTypes[Speed], MATCH(Items[[#This Row],[Producer Type]], CraftingTypes[Producer Type], 0))</f>
        <v>1.25</v>
      </c>
      <c r="G73" s="38">
        <f>INDEX(CraftingTypes[Bonus], MATCH(Items[[#This Row],[Producer Type]], CraftingTypes[Producer Type], 0)) + 1</f>
        <v>1</v>
      </c>
      <c r="H73" s="38">
        <f>1 / Items[[#This Row],[Cycle Time for One]]</f>
        <v>2.5</v>
      </c>
      <c r="I73" s="36" t="b">
        <f>IFERROR(OR(Items[[#This Row],[Name]] = SelectedName, INDEX(CraftingTypes[Include], MATCH(Items[[#This Row],[Producer Type]], CraftingTypes[Producer Type], 0))), FALSE)</f>
        <v>1</v>
      </c>
      <c r="J73" s="38">
        <f>IF(Items[[#This Row],[Name]] = SelectedName, 1, IF(NOT(Items[[#This Row],[Include]]), 0, SUMIFS(RecipeTotals.Quantity, RecipeTotals.Name, SelectedName, RecipeTotals.Component, Items[[#This Row],[Name]])))</f>
        <v>0</v>
      </c>
      <c r="K73" s="38">
        <f>IFERROR(Items[[#This Row],[Selected Count]] / CycleTime.Actual, "")</f>
        <v>0</v>
      </c>
      <c r="L73" s="38">
        <f>IFERROR(Items[[#This Row],[Selected Per Second]] / Items[[#This Row],[Per Second]], "")</f>
        <v>0</v>
      </c>
      <c r="M73" s="38">
        <f>IFERROR(Items[[#This Row],[Selected Per Second]] / Items[[#This Row],[Per Second]], "")</f>
        <v>0</v>
      </c>
      <c r="N73" s="38">
        <f>IFERROR(CEILING(Items[[#This Row],[Fractional Producers for Selected Count]], 1), 0)</f>
        <v>0</v>
      </c>
      <c r="O73" s="38" t="str">
        <f>IF(AND(Items[[#This Row],[Producers For Selected Count]] &gt; 0, Items[[#This Row],[Include]]), ROW() - ROW(Items[#Headers]), "")</f>
        <v/>
      </c>
      <c r="P73" s="38" t="str">
        <f>IFERROR(SMALL(Items[Include Row Index], ROW() - ROW(Items[#Headers])), "")</f>
        <v/>
      </c>
      <c r="R73" t="s">
        <v>80</v>
      </c>
      <c r="S73" t="s">
        <v>35</v>
      </c>
      <c r="T73">
        <v>10</v>
      </c>
      <c r="U73" s="1" t="str">
        <f>IFERROR(IF(INDEX(Items[Selected Count], MATCH(Recipes[[#This Row],[Name]], Items[Name], 0)) &gt; 0, ROW() - ROW(Recipes[#Headers]), ""), "")</f>
        <v/>
      </c>
      <c r="V73" s="1" t="str">
        <f>IFERROR(SMALL(Recipes[Selected], ROW() - ROW(Recipes[#Headers])), "")</f>
        <v/>
      </c>
      <c r="W73" s="1" t="str">
        <f>IFERROR(INDEX(Recipes[Name], Recipes[[#This Row],[Selected Sorted]]), "")</f>
        <v/>
      </c>
      <c r="X73" s="1" t="str">
        <f>IFERROR(INDEX(Recipes[Component], Recipes[[#This Row],[Selected Sorted]]), "")</f>
        <v/>
      </c>
      <c r="Y73" s="1" t="str">
        <f>IFERROR(INDEX(Recipes[Quantity], Recipes[[#This Row],[Selected Sorted]]), "")</f>
        <v/>
      </c>
      <c r="AA73" t="s">
        <v>6</v>
      </c>
      <c r="AB73" t="s">
        <v>5</v>
      </c>
      <c r="AC73">
        <v>2</v>
      </c>
      <c r="AD73" t="str">
        <f>IFERROR(IF(INDEX(Items[Selected Count], MATCH(Recipes2[[#This Row],[Name]], Items[Name], 0)) &gt; 0, ROW() - ROW(Recipes2[#Headers]), ""), "")</f>
        <v/>
      </c>
      <c r="AE73" t="str">
        <f>IFERROR(SMALL(Recipes2[Selected], ROW() - ROW(Recipes2[#Headers])), "")</f>
        <v/>
      </c>
      <c r="AF73" t="str">
        <f>IFERROR(INDEX(Recipes2[Name], Recipes2[[#This Row],[Selected Sorted]]), "")</f>
        <v/>
      </c>
      <c r="AG73" t="str">
        <f>IFERROR(INDEX(Recipes2[Component], Recipes2[[#This Row],[Selected Sorted]]), "")</f>
        <v/>
      </c>
      <c r="AH73" s="1" t="str">
        <f>IFERROR(INDEX(Recipes2[Quantity], Recipes2[[#This Row],[Selected Sorted]]), "")</f>
        <v/>
      </c>
    </row>
    <row r="74" spans="1:34" x14ac:dyDescent="0.25">
      <c r="A74" t="s">
        <v>65</v>
      </c>
      <c r="B74">
        <v>1</v>
      </c>
      <c r="C74">
        <f>MAX(Items[[#This Row],[Base Cycle Time]] / Items[[#This Row],[Speed]], MinInsertionTime) / Items[[#This Row],[Quantity Per Cycle]] / Items[[#This Row],[Bonus]]</f>
        <v>2.2222222222222222E-3</v>
      </c>
      <c r="D74" s="39">
        <v>450</v>
      </c>
      <c r="E74" t="s">
        <v>93</v>
      </c>
      <c r="F74" s="39">
        <f>INDEX(CraftingTypes[Speed], MATCH(Items[[#This Row],[Producer Type]], CraftingTypes[Producer Type], 0))</f>
        <v>1</v>
      </c>
      <c r="G74" s="39">
        <f>INDEX(CraftingTypes[Bonus], MATCH(Items[[#This Row],[Producer Type]], CraftingTypes[Producer Type], 0)) + 1</f>
        <v>1</v>
      </c>
      <c r="H74" s="38">
        <f>1 / Items[[#This Row],[Cycle Time for One]]</f>
        <v>450</v>
      </c>
      <c r="I74" s="36" t="b">
        <f>IFERROR(OR(Items[[#This Row],[Name]] = SelectedName, INDEX(CraftingTypes[Include], MATCH(Items[[#This Row],[Producer Type]], CraftingTypes[Producer Type], 0))), FALSE)</f>
        <v>0</v>
      </c>
      <c r="J74" s="38">
        <f>IF(Items[[#This Row],[Name]] = SelectedName, 1, IF(NOT(Items[[#This Row],[Include]]), 0, SUMIFS(RecipeTotals.Quantity, RecipeTotals.Name, SelectedName, RecipeTotals.Component, Items[[#This Row],[Name]])))</f>
        <v>0</v>
      </c>
      <c r="K74" s="38">
        <f>IFERROR(Items[[#This Row],[Selected Count]] / CycleTime.Actual, "")</f>
        <v>0</v>
      </c>
      <c r="L74" s="38">
        <f>IFERROR(Items[[#This Row],[Selected Per Second]] / Items[[#This Row],[Per Second]], "")</f>
        <v>0</v>
      </c>
      <c r="M74" s="38">
        <f>IFERROR(Items[[#This Row],[Selected Per Second]] / Items[[#This Row],[Per Second]], "")</f>
        <v>0</v>
      </c>
      <c r="N74" s="38">
        <f>IFERROR(CEILING(Items[[#This Row],[Fractional Producers for Selected Count]], 1), 0)</f>
        <v>0</v>
      </c>
      <c r="O74" s="38" t="str">
        <f>IF(AND(Items[[#This Row],[Producers For Selected Count]] &gt; 0, Items[[#This Row],[Include]]), ROW() - ROW(Items[#Headers]), "")</f>
        <v/>
      </c>
      <c r="P74" s="38" t="str">
        <f>IFERROR(SMALL(Items[Include Row Index], ROW() - ROW(Items[#Headers])), "")</f>
        <v/>
      </c>
      <c r="R74" t="s">
        <v>80</v>
      </c>
      <c r="S74" t="s">
        <v>83</v>
      </c>
      <c r="T74">
        <v>10</v>
      </c>
      <c r="U74" s="1" t="str">
        <f>IFERROR(IF(INDEX(Items[Selected Count], MATCH(Recipes[[#This Row],[Name]], Items[Name], 0)) &gt; 0, ROW() - ROW(Recipes[#Headers]), ""), "")</f>
        <v/>
      </c>
      <c r="V74" s="1" t="str">
        <f>IFERROR(SMALL(Recipes[Selected], ROW() - ROW(Recipes[#Headers])), "")</f>
        <v/>
      </c>
      <c r="W74" s="1" t="str">
        <f>IFERROR(INDEX(Recipes[Name], Recipes[[#This Row],[Selected Sorted]]), "")</f>
        <v/>
      </c>
      <c r="X74" s="1" t="str">
        <f>IFERROR(INDEX(Recipes[Component], Recipes[[#This Row],[Selected Sorted]]), "")</f>
        <v/>
      </c>
      <c r="Y74" s="1" t="str">
        <f>IFERROR(INDEX(Recipes[Quantity], Recipes[[#This Row],[Selected Sorted]]), "")</f>
        <v/>
      </c>
      <c r="AA74" t="s">
        <v>7</v>
      </c>
      <c r="AB74" t="s">
        <v>5</v>
      </c>
      <c r="AC74">
        <v>3</v>
      </c>
      <c r="AD74" t="str">
        <f>IFERROR(IF(INDEX(Items[Selected Count], MATCH(Recipes2[[#This Row],[Name]], Items[Name], 0)) &gt; 0, ROW() - ROW(Recipes2[#Headers]), ""), "")</f>
        <v/>
      </c>
      <c r="AE74" t="str">
        <f>IFERROR(SMALL(Recipes2[Selected], ROW() - ROW(Recipes2[#Headers])), "")</f>
        <v/>
      </c>
      <c r="AF74" t="str">
        <f>IFERROR(INDEX(Recipes2[Name], Recipes2[[#This Row],[Selected Sorted]]), "")</f>
        <v/>
      </c>
      <c r="AG74" t="str">
        <f>IFERROR(INDEX(Recipes2[Component], Recipes2[[#This Row],[Selected Sorted]]), "")</f>
        <v/>
      </c>
      <c r="AH74" s="1" t="str">
        <f>IFERROR(INDEX(Recipes2[Quantity], Recipes2[[#This Row],[Selected Sorted]]), "")</f>
        <v/>
      </c>
    </row>
    <row r="75" spans="1:34" x14ac:dyDescent="0.25">
      <c r="A75" t="s">
        <v>34</v>
      </c>
      <c r="B75">
        <v>3</v>
      </c>
      <c r="C75">
        <f>MAX(Items[[#This Row],[Base Cycle Time]] / Items[[#This Row],[Speed]], MinInsertionTime) / Items[[#This Row],[Quantity Per Cycle]] / Items[[#This Row],[Bonus]]</f>
        <v>2.4</v>
      </c>
      <c r="D75" s="39">
        <v>1</v>
      </c>
      <c r="E75" t="s">
        <v>59</v>
      </c>
      <c r="F75" s="39">
        <f>INDEX(CraftingTypes[Speed], MATCH(Items[[#This Row],[Producer Type]], CraftingTypes[Producer Type], 0))</f>
        <v>1.25</v>
      </c>
      <c r="G75" s="39">
        <f>INDEX(CraftingTypes[Bonus], MATCH(Items[[#This Row],[Producer Type]], CraftingTypes[Producer Type], 0)) + 1</f>
        <v>1</v>
      </c>
      <c r="H75" s="38">
        <f>1 / Items[[#This Row],[Cycle Time for One]]</f>
        <v>0.41666666666666669</v>
      </c>
      <c r="I75" s="36" t="b">
        <f>IFERROR(OR(Items[[#This Row],[Name]] = SelectedName, INDEX(CraftingTypes[Include], MATCH(Items[[#This Row],[Producer Type]], CraftingTypes[Producer Type], 0))), FALSE)</f>
        <v>1</v>
      </c>
      <c r="J75" s="38">
        <f>IF(Items[[#This Row],[Name]] = SelectedName, 1, IF(NOT(Items[[#This Row],[Include]]), 0, SUMIFS(RecipeTotals.Quantity, RecipeTotals.Name, SelectedName, RecipeTotals.Component, Items[[#This Row],[Name]])))</f>
        <v>0</v>
      </c>
      <c r="K75" s="38">
        <f>IFERROR(Items[[#This Row],[Selected Count]] / CycleTime.Actual, "")</f>
        <v>0</v>
      </c>
      <c r="L75" s="38">
        <f>IFERROR(Items[[#This Row],[Selected Per Second]] / Items[[#This Row],[Per Second]], "")</f>
        <v>0</v>
      </c>
      <c r="M75" s="38">
        <f>IFERROR(Items[[#This Row],[Selected Per Second]] / Items[[#This Row],[Per Second]], "")</f>
        <v>0</v>
      </c>
      <c r="N75" s="38">
        <f>IFERROR(CEILING(Items[[#This Row],[Fractional Producers for Selected Count]], 1), 0)</f>
        <v>0</v>
      </c>
      <c r="O75" s="38" t="str">
        <f>IF(AND(Items[[#This Row],[Producers For Selected Count]] &gt; 0, Items[[#This Row],[Include]]), ROW() - ROW(Items[#Headers]), "")</f>
        <v/>
      </c>
      <c r="P75" s="38" t="str">
        <f>IFERROR(SMALL(Items[Include Row Index], ROW() - ROW(Items[#Headers])), "")</f>
        <v/>
      </c>
      <c r="R75" t="s">
        <v>87</v>
      </c>
      <c r="S75" t="s">
        <v>5</v>
      </c>
      <c r="T75">
        <v>3</v>
      </c>
      <c r="U75" s="1" t="str">
        <f>IFERROR(IF(INDEX(Items[Selected Count], MATCH(Recipes[[#This Row],[Name]], Items[Name], 0)) &gt; 0, ROW() - ROW(Recipes[#Headers]), ""), "")</f>
        <v/>
      </c>
      <c r="V75" s="1" t="str">
        <f>IFERROR(SMALL(Recipes[Selected], ROW() - ROW(Recipes[#Headers])), "")</f>
        <v/>
      </c>
      <c r="W75" s="1" t="str">
        <f>IFERROR(INDEX(Recipes[Name], Recipes[[#This Row],[Selected Sorted]]), "")</f>
        <v/>
      </c>
      <c r="X75" s="1" t="str">
        <f>IFERROR(INDEX(Recipes[Component], Recipes[[#This Row],[Selected Sorted]]), "")</f>
        <v/>
      </c>
      <c r="Y75" s="1" t="str">
        <f>IFERROR(INDEX(Recipes[Quantity], Recipes[[#This Row],[Selected Sorted]]), "")</f>
        <v/>
      </c>
      <c r="AA75" t="s">
        <v>9</v>
      </c>
      <c r="AB75" t="s">
        <v>5</v>
      </c>
      <c r="AC75">
        <v>3</v>
      </c>
      <c r="AD75" t="str">
        <f>IFERROR(IF(INDEX(Items[Selected Count], MATCH(Recipes2[[#This Row],[Name]], Items[Name], 0)) &gt; 0, ROW() - ROW(Recipes2[#Headers]), ""), "")</f>
        <v/>
      </c>
      <c r="AE75" t="str">
        <f>IFERROR(SMALL(Recipes2[Selected], ROW() - ROW(Recipes2[#Headers])), "")</f>
        <v/>
      </c>
      <c r="AF75" t="str">
        <f>IFERROR(INDEX(Recipes2[Name], Recipes2[[#This Row],[Selected Sorted]]), "")</f>
        <v/>
      </c>
      <c r="AG75" t="str">
        <f>IFERROR(INDEX(Recipes2[Component], Recipes2[[#This Row],[Selected Sorted]]), "")</f>
        <v/>
      </c>
      <c r="AH75" s="1" t="str">
        <f>IFERROR(INDEX(Recipes2[Quantity], Recipes2[[#This Row],[Selected Sorted]]), "")</f>
        <v/>
      </c>
    </row>
    <row r="76" spans="1:34" x14ac:dyDescent="0.25">
      <c r="A76" t="s">
        <v>23</v>
      </c>
      <c r="B76">
        <v>0.5</v>
      </c>
      <c r="C76">
        <f>MAX(Items[[#This Row],[Base Cycle Time]] / Items[[#This Row],[Speed]], MinInsertionTime) / Items[[#This Row],[Quantity Per Cycle]] / Items[[#This Row],[Bonus]]</f>
        <v>0.4</v>
      </c>
      <c r="D76" s="39">
        <v>1</v>
      </c>
      <c r="E76" t="s">
        <v>59</v>
      </c>
      <c r="F76" s="39">
        <f>INDEX(CraftingTypes[Speed], MATCH(Items[[#This Row],[Producer Type]], CraftingTypes[Producer Type], 0))</f>
        <v>1.25</v>
      </c>
      <c r="G76" s="39">
        <f>INDEX(CraftingTypes[Bonus], MATCH(Items[[#This Row],[Producer Type]], CraftingTypes[Producer Type], 0)) + 1</f>
        <v>1</v>
      </c>
      <c r="H76" s="38">
        <f>1 / Items[[#This Row],[Cycle Time for One]]</f>
        <v>2.5</v>
      </c>
      <c r="I76" s="36" t="b">
        <f>IFERROR(OR(Items[[#This Row],[Name]] = SelectedName, INDEX(CraftingTypes[Include], MATCH(Items[[#This Row],[Producer Type]], CraftingTypes[Producer Type], 0))), FALSE)</f>
        <v>1</v>
      </c>
      <c r="J76" s="38">
        <f>IF(Items[[#This Row],[Name]] = SelectedName, 1, IF(NOT(Items[[#This Row],[Include]]), 0, SUMIFS(RecipeTotals.Quantity, RecipeTotals.Name, SelectedName, RecipeTotals.Component, Items[[#This Row],[Name]])))</f>
        <v>0</v>
      </c>
      <c r="K76" s="38">
        <f>IFERROR(Items[[#This Row],[Selected Count]] / CycleTime.Actual, "")</f>
        <v>0</v>
      </c>
      <c r="L76" s="38">
        <f>IFERROR(Items[[#This Row],[Selected Per Second]] / Items[[#This Row],[Per Second]], "")</f>
        <v>0</v>
      </c>
      <c r="M76" s="38">
        <f>IFERROR(Items[[#This Row],[Selected Per Second]] / Items[[#This Row],[Per Second]], "")</f>
        <v>0</v>
      </c>
      <c r="N76" s="38">
        <f>IFERROR(CEILING(Items[[#This Row],[Fractional Producers for Selected Count]], 1), 0)</f>
        <v>0</v>
      </c>
      <c r="O76" s="38" t="str">
        <f>IF(AND(Items[[#This Row],[Producers For Selected Count]] &gt; 0, Items[[#This Row],[Include]]), ROW() - ROW(Items[#Headers]), "")</f>
        <v/>
      </c>
      <c r="P76" s="38" t="str">
        <f>IFERROR(SMALL(Items[Include Row Index], ROW() - ROW(Items[#Headers])), "")</f>
        <v/>
      </c>
      <c r="R76" t="s">
        <v>87</v>
      </c>
      <c r="S76" t="s">
        <v>8</v>
      </c>
      <c r="T76">
        <v>5</v>
      </c>
      <c r="U76" s="1" t="str">
        <f>IFERROR(IF(INDEX(Items[Selected Count], MATCH(Recipes[[#This Row],[Name]], Items[Name], 0)) &gt; 0, ROW() - ROW(Recipes[#Headers]), ""), "")</f>
        <v/>
      </c>
      <c r="V76" s="1" t="str">
        <f>IFERROR(SMALL(Recipes[Selected], ROW() - ROW(Recipes[#Headers])), "")</f>
        <v/>
      </c>
      <c r="W76" s="1" t="str">
        <f>IFERROR(INDEX(Recipes[Name], Recipes[[#This Row],[Selected Sorted]]), "")</f>
        <v/>
      </c>
      <c r="X76" s="1" t="str">
        <f>IFERROR(INDEX(Recipes[Component], Recipes[[#This Row],[Selected Sorted]]), "")</f>
        <v/>
      </c>
      <c r="Y76" s="1" t="str">
        <f>IFERROR(INDEX(Recipes[Quantity], Recipes[[#This Row],[Selected Sorted]]), "")</f>
        <v/>
      </c>
      <c r="AA76" t="s">
        <v>121</v>
      </c>
      <c r="AB76" t="s">
        <v>5</v>
      </c>
      <c r="AC76">
        <v>20</v>
      </c>
      <c r="AD76" s="1" t="str">
        <f>IFERROR(IF(INDEX(Items[Selected Count], MATCH(Recipes2[[#This Row],[Name]], Items[Name], 0)) &gt; 0, ROW() - ROW(Recipes2[#Headers]), ""), "")</f>
        <v/>
      </c>
      <c r="AE76" s="1" t="str">
        <f>IFERROR(SMALL(Recipes2[Selected], ROW() - ROW(Recipes2[#Headers])), "")</f>
        <v/>
      </c>
      <c r="AF76" s="1" t="str">
        <f>IFERROR(INDEX(Recipes2[Name], Recipes2[[#This Row],[Selected Sorted]]), "")</f>
        <v/>
      </c>
      <c r="AG76" s="1" t="str">
        <f>IFERROR(INDEX(Recipes2[Component], Recipes2[[#This Row],[Selected Sorted]]), "")</f>
        <v/>
      </c>
      <c r="AH76" s="1" t="str">
        <f>IFERROR(INDEX(Recipes2[Quantity], Recipes2[[#This Row],[Selected Sorted]]), "")</f>
        <v/>
      </c>
    </row>
    <row r="77" spans="1:34" x14ac:dyDescent="0.25">
      <c r="A77" t="s">
        <v>152</v>
      </c>
      <c r="B77">
        <v>0.5</v>
      </c>
      <c r="C77" s="1">
        <f>MAX(Items[[#This Row],[Base Cycle Time]] / Items[[#This Row],[Speed]], MinInsertionTime) / Items[[#This Row],[Quantity Per Cycle]] / Items[[#This Row],[Bonus]]</f>
        <v>0.4</v>
      </c>
      <c r="D77" s="39">
        <v>1</v>
      </c>
      <c r="E77" t="s">
        <v>59</v>
      </c>
      <c r="F77" s="38">
        <f>INDEX(CraftingTypes[Speed], MATCH(Items[[#This Row],[Producer Type]], CraftingTypes[Producer Type], 0))</f>
        <v>1.25</v>
      </c>
      <c r="G77" s="38">
        <f>INDEX(CraftingTypes[Bonus], MATCH(Items[[#This Row],[Producer Type]], CraftingTypes[Producer Type], 0)) + 1</f>
        <v>1</v>
      </c>
      <c r="H77" s="38">
        <f>1 / Items[[#This Row],[Cycle Time for One]]</f>
        <v>2.5</v>
      </c>
      <c r="I77" s="36" t="b">
        <f>IFERROR(OR(Items[[#This Row],[Name]] = SelectedName, INDEX(CraftingTypes[Include], MATCH(Items[[#This Row],[Producer Type]], CraftingTypes[Producer Type], 0))), FALSE)</f>
        <v>1</v>
      </c>
      <c r="J77" s="38">
        <f>IF(Items[[#This Row],[Name]] = SelectedName, 1, IF(NOT(Items[[#This Row],[Include]]), 0, SUMIFS(RecipeTotals.Quantity, RecipeTotals.Name, SelectedName, RecipeTotals.Component, Items[[#This Row],[Name]])))</f>
        <v>0</v>
      </c>
      <c r="K77" s="38">
        <f>IFERROR(Items[[#This Row],[Selected Count]] / CycleTime.Actual, "")</f>
        <v>0</v>
      </c>
      <c r="L77" s="38">
        <f>IFERROR(Items[[#This Row],[Selected Per Second]] / Items[[#This Row],[Per Second]], "")</f>
        <v>0</v>
      </c>
      <c r="M77" s="38">
        <f>IFERROR(Items[[#This Row],[Selected Per Second]] / Items[[#This Row],[Per Second]], "")</f>
        <v>0</v>
      </c>
      <c r="N77" s="38">
        <f>IFERROR(CEILING(Items[[#This Row],[Fractional Producers for Selected Count]], 1), 0)</f>
        <v>0</v>
      </c>
      <c r="O77" s="38" t="str">
        <f>IF(AND(Items[[#This Row],[Producers For Selected Count]] &gt; 0, Items[[#This Row],[Include]]), ROW() - ROW(Items[#Headers]), "")</f>
        <v/>
      </c>
      <c r="P77" s="38" t="str">
        <f>IFERROR(SMALL(Items[Include Row Index], ROW() - ROW(Items[#Headers])), "")</f>
        <v/>
      </c>
      <c r="R77" t="s">
        <v>87</v>
      </c>
      <c r="S77" t="s">
        <v>2</v>
      </c>
      <c r="T77">
        <v>10</v>
      </c>
      <c r="U77" s="1" t="str">
        <f>IFERROR(IF(INDEX(Items[Selected Count], MATCH(Recipes[[#This Row],[Name]], Items[Name], 0)) &gt; 0, ROW() - ROW(Recipes[#Headers]), ""), "")</f>
        <v/>
      </c>
      <c r="V77" s="1" t="str">
        <f>IFERROR(SMALL(Recipes[Selected], ROW() - ROW(Recipes[#Headers])), "")</f>
        <v/>
      </c>
      <c r="W77" s="1" t="str">
        <f>IFERROR(INDEX(Recipes[Name], Recipes[[#This Row],[Selected Sorted]]), "")</f>
        <v/>
      </c>
      <c r="X77" s="1" t="str">
        <f>IFERROR(INDEX(Recipes[Component], Recipes[[#This Row],[Selected Sorted]]), "")</f>
        <v/>
      </c>
      <c r="Y77" s="1" t="str">
        <f>IFERROR(INDEX(Recipes[Quantity], Recipes[[#This Row],[Selected Sorted]]), "")</f>
        <v/>
      </c>
      <c r="AA77" t="s">
        <v>60</v>
      </c>
      <c r="AB77" t="s">
        <v>5</v>
      </c>
      <c r="AC77">
        <v>5</v>
      </c>
      <c r="AD77" s="1" t="str">
        <f>IFERROR(IF(INDEX(Items[Selected Count], MATCH(Recipes2[[#This Row],[Name]], Items[Name], 0)) &gt; 0, ROW() - ROW(Recipes2[#Headers]), ""), "")</f>
        <v/>
      </c>
      <c r="AE77" s="1" t="str">
        <f>IFERROR(SMALL(Recipes2[Selected], ROW() - ROW(Recipes2[#Headers])), "")</f>
        <v/>
      </c>
      <c r="AF77" s="1" t="str">
        <f>IFERROR(INDEX(Recipes2[Name], Recipes2[[#This Row],[Selected Sorted]]), "")</f>
        <v/>
      </c>
      <c r="AG77" s="1" t="str">
        <f>IFERROR(INDEX(Recipes2[Component], Recipes2[[#This Row],[Selected Sorted]]), "")</f>
        <v/>
      </c>
      <c r="AH77" s="1" t="str">
        <f>IFERROR(INDEX(Recipes2[Quantity], Recipes2[[#This Row],[Selected Sorted]]), "")</f>
        <v/>
      </c>
    </row>
    <row r="78" spans="1:34" x14ac:dyDescent="0.25">
      <c r="A78" t="s">
        <v>3</v>
      </c>
      <c r="B78">
        <v>1</v>
      </c>
      <c r="C78">
        <f>MAX(Items[[#This Row],[Base Cycle Time]] / Items[[#This Row],[Speed]], MinInsertionTime) / Items[[#This Row],[Quantity Per Cycle]] / Items[[#This Row],[Bonus]]</f>
        <v>0.16</v>
      </c>
      <c r="D78" s="39">
        <v>2</v>
      </c>
      <c r="E78" t="s">
        <v>60</v>
      </c>
      <c r="F78" s="39">
        <f>INDEX(CraftingTypes[Speed], MATCH(Items[[#This Row],[Producer Type]], CraftingTypes[Producer Type], 0))</f>
        <v>3.125</v>
      </c>
      <c r="G78" s="39">
        <f>INDEX(CraftingTypes[Bonus], MATCH(Items[[#This Row],[Producer Type]], CraftingTypes[Producer Type], 0)) + 1</f>
        <v>1</v>
      </c>
      <c r="H78" s="39">
        <f>1 / Items[[#This Row],[Cycle Time for One]]</f>
        <v>6.25</v>
      </c>
      <c r="I78" s="37" t="b">
        <f>IFERROR(OR(Items[[#This Row],[Name]] = SelectedName, INDEX(CraftingTypes[Include], MATCH(Items[[#This Row],[Producer Type]], CraftingTypes[Producer Type], 0))), FALSE)</f>
        <v>1</v>
      </c>
      <c r="J78" s="39">
        <f>IF(Items[[#This Row],[Name]] = SelectedName, 1, IF(NOT(Items[[#This Row],[Include]]), 0, SUMIFS(RecipeTotals.Quantity, RecipeTotals.Name, SelectedName, RecipeTotals.Component, Items[[#This Row],[Name]])))</f>
        <v>0</v>
      </c>
      <c r="K78" s="39">
        <f>IFERROR(Items[[#This Row],[Selected Count]] / CycleTime.Actual, "")</f>
        <v>0</v>
      </c>
      <c r="L78" s="39">
        <f>IFERROR(Items[[#This Row],[Selected Per Second]] / Items[[#This Row],[Per Second]], "")</f>
        <v>0</v>
      </c>
      <c r="M78" s="39">
        <f>IFERROR(Items[[#This Row],[Selected Per Second]] / Items[[#This Row],[Per Second]], "")</f>
        <v>0</v>
      </c>
      <c r="N78" s="39">
        <f>IFERROR(CEILING(Items[[#This Row],[Fractional Producers for Selected Count]], 1), 0)</f>
        <v>0</v>
      </c>
      <c r="O78" s="38" t="str">
        <f>IF(AND(Items[[#This Row],[Producers For Selected Count]] &gt; 0, Items[[#This Row],[Include]]), ROW() - ROW(Items[#Headers]), "")</f>
        <v/>
      </c>
      <c r="P78" s="38" t="str">
        <f>IFERROR(SMALL(Items[Include Row Index], ROW() - ROW(Items[#Headers])), "")</f>
        <v/>
      </c>
      <c r="R78" t="s">
        <v>5</v>
      </c>
      <c r="S78" t="s">
        <v>1</v>
      </c>
      <c r="T78">
        <v>3</v>
      </c>
      <c r="U78">
        <f>IFERROR(IF(INDEX(Items[Selected Count], MATCH(Recipes[[#This Row],[Name]], Items[Name], 0)) &gt; 0, ROW() - ROW(Recipes[#Headers]), ""), "")</f>
        <v>77</v>
      </c>
      <c r="V78" t="str">
        <f>IFERROR(SMALL(Recipes[Selected], ROW() - ROW(Recipes[#Headers])), "")</f>
        <v/>
      </c>
      <c r="W78" t="str">
        <f>IFERROR(INDEX(Recipes[Name], Recipes[[#This Row],[Selected Sorted]]), "")</f>
        <v/>
      </c>
      <c r="X78" t="str">
        <f>IFERROR(INDEX(Recipes[Component], Recipes[[#This Row],[Selected Sorted]]), "")</f>
        <v/>
      </c>
      <c r="Y78" s="1" t="str">
        <f>IFERROR(INDEX(Recipes[Quantity], Recipes[[#This Row],[Selected Sorted]]), "")</f>
        <v/>
      </c>
      <c r="AA78" t="s">
        <v>56</v>
      </c>
      <c r="AB78" t="s">
        <v>5</v>
      </c>
      <c r="AC78">
        <v>2</v>
      </c>
      <c r="AD78" t="str">
        <f>IFERROR(IF(INDEX(Items[Selected Count], MATCH(Recipes2[[#This Row],[Name]], Items[Name], 0)) &gt; 0, ROW() - ROW(Recipes2[#Headers]), ""), "")</f>
        <v/>
      </c>
      <c r="AE78" t="str">
        <f>IFERROR(SMALL(Recipes2[Selected], ROW() - ROW(Recipes2[#Headers])), "")</f>
        <v/>
      </c>
      <c r="AF78" t="str">
        <f>IFERROR(INDEX(Recipes2[Name], Recipes2[[#This Row],[Selected Sorted]]), "")</f>
        <v/>
      </c>
      <c r="AG78" t="str">
        <f>IFERROR(INDEX(Recipes2[Component], Recipes2[[#This Row],[Selected Sorted]]), "")</f>
        <v/>
      </c>
      <c r="AH78" s="1" t="str">
        <f>IFERROR(INDEX(Recipes2[Quantity], Recipes2[[#This Row],[Selected Sorted]]), "")</f>
        <v/>
      </c>
    </row>
    <row r="79" spans="1:34" x14ac:dyDescent="0.25">
      <c r="A79" t="s">
        <v>125</v>
      </c>
      <c r="B79">
        <v>8</v>
      </c>
      <c r="C79" s="1">
        <f>MAX(Items[[#This Row],[Base Cycle Time]] / Items[[#This Row],[Speed]], MinInsertionTime) / Items[[#This Row],[Quantity Per Cycle]] / Items[[#This Row],[Bonus]]</f>
        <v>6.4</v>
      </c>
      <c r="D79" s="39">
        <v>1</v>
      </c>
      <c r="E79" t="s">
        <v>59</v>
      </c>
      <c r="F79" s="38">
        <f>INDEX(CraftingTypes[Speed], MATCH(Items[[#This Row],[Producer Type]], CraftingTypes[Producer Type], 0))</f>
        <v>1.25</v>
      </c>
      <c r="G79" s="38">
        <f>INDEX(CraftingTypes[Bonus], MATCH(Items[[#This Row],[Producer Type]], CraftingTypes[Producer Type], 0)) + 1</f>
        <v>1</v>
      </c>
      <c r="H79" s="38">
        <f>1 / Items[[#This Row],[Cycle Time for One]]</f>
        <v>0.15625</v>
      </c>
      <c r="I79" s="36" t="b">
        <f>IFERROR(OR(Items[[#This Row],[Name]] = SelectedName, INDEX(CraftingTypes[Include], MATCH(Items[[#This Row],[Producer Type]], CraftingTypes[Producer Type], 0))), FALSE)</f>
        <v>1</v>
      </c>
      <c r="J79" s="38">
        <f>IF(Items[[#This Row],[Name]] = SelectedName, 1, IF(NOT(Items[[#This Row],[Include]]), 0, SUMIFS(RecipeTotals.Quantity, RecipeTotals.Name, SelectedName, RecipeTotals.Component, Items[[#This Row],[Name]])))</f>
        <v>0</v>
      </c>
      <c r="K79" s="38">
        <f>IFERROR(Items[[#This Row],[Selected Count]] / CycleTime.Actual, "")</f>
        <v>0</v>
      </c>
      <c r="L79" s="38">
        <f>IFERROR(Items[[#This Row],[Selected Per Second]] / Items[[#This Row],[Per Second]], "")</f>
        <v>0</v>
      </c>
      <c r="M79" s="38">
        <f>IFERROR(Items[[#This Row],[Selected Per Second]] / Items[[#This Row],[Per Second]], "")</f>
        <v>0</v>
      </c>
      <c r="N79" s="38">
        <f>IFERROR(CEILING(Items[[#This Row],[Fractional Producers for Selected Count]], 1), 0)</f>
        <v>0</v>
      </c>
      <c r="O79" s="38" t="str">
        <f>IF(AND(Items[[#This Row],[Producers For Selected Count]] &gt; 0, Items[[#This Row],[Include]]), ROW() - ROW(Items[#Headers]), "")</f>
        <v/>
      </c>
      <c r="P79" s="38" t="str">
        <f>IFERROR(SMALL(Items[Include Row Index], ROW() - ROW(Items[#Headers])), "")</f>
        <v/>
      </c>
      <c r="R79" t="s">
        <v>5</v>
      </c>
      <c r="S79" t="s">
        <v>2</v>
      </c>
      <c r="T79">
        <v>1</v>
      </c>
      <c r="U79">
        <f>IFERROR(IF(INDEX(Items[Selected Count], MATCH(Recipes[[#This Row],[Name]], Items[Name], 0)) &gt; 0, ROW() - ROW(Recipes[#Headers]), ""), "")</f>
        <v>78</v>
      </c>
      <c r="V79" t="str">
        <f>IFERROR(SMALL(Recipes[Selected], ROW() - ROW(Recipes[#Headers])), "")</f>
        <v/>
      </c>
      <c r="W79" t="str">
        <f>IFERROR(INDEX(Recipes[Name], Recipes[[#This Row],[Selected Sorted]]), "")</f>
        <v/>
      </c>
      <c r="X79" t="str">
        <f>IFERROR(INDEX(Recipes[Component], Recipes[[#This Row],[Selected Sorted]]), "")</f>
        <v/>
      </c>
      <c r="Y79" s="1" t="str">
        <f>IFERROR(INDEX(Recipes[Quantity], Recipes[[#This Row],[Selected Sorted]]), "")</f>
        <v/>
      </c>
      <c r="AA79" t="s">
        <v>122</v>
      </c>
      <c r="AB79" t="s">
        <v>5</v>
      </c>
      <c r="AC79">
        <v>2</v>
      </c>
      <c r="AD79" s="1" t="str">
        <f>IFERROR(IF(INDEX(Items[Selected Count], MATCH(Recipes2[[#This Row],[Name]], Items[Name], 0)) &gt; 0, ROW() - ROW(Recipes2[#Headers]), ""), "")</f>
        <v/>
      </c>
      <c r="AE79" s="1" t="str">
        <f>IFERROR(SMALL(Recipes2[Selected], ROW() - ROW(Recipes2[#Headers])), "")</f>
        <v/>
      </c>
      <c r="AF79" s="1" t="str">
        <f>IFERROR(INDEX(Recipes2[Name], Recipes2[[#This Row],[Selected Sorted]]), "")</f>
        <v/>
      </c>
      <c r="AG79" s="1" t="str">
        <f>IFERROR(INDEX(Recipes2[Component], Recipes2[[#This Row],[Selected Sorted]]), "")</f>
        <v/>
      </c>
      <c r="AH79" s="1" t="str">
        <f>IFERROR(INDEX(Recipes2[Quantity], Recipes2[[#This Row],[Selected Sorted]]), "")</f>
        <v/>
      </c>
    </row>
    <row r="80" spans="1:34" x14ac:dyDescent="0.25">
      <c r="A80" t="s">
        <v>82</v>
      </c>
      <c r="B80">
        <v>10</v>
      </c>
      <c r="C80">
        <f>MAX(Items[[#This Row],[Base Cycle Time]] / Items[[#This Row],[Speed]], MinInsertionTime) / Items[[#This Row],[Quantity Per Cycle]] / Items[[#This Row],[Bonus]]</f>
        <v>8</v>
      </c>
      <c r="D80" s="39">
        <v>1</v>
      </c>
      <c r="E80" t="s">
        <v>59</v>
      </c>
      <c r="F80" s="38">
        <f>INDEX(CraftingTypes[Speed], MATCH(Items[[#This Row],[Producer Type]], CraftingTypes[Producer Type], 0))</f>
        <v>1.25</v>
      </c>
      <c r="G80" s="38">
        <f>INDEX(CraftingTypes[Bonus], MATCH(Items[[#This Row],[Producer Type]], CraftingTypes[Producer Type], 0)) + 1</f>
        <v>1</v>
      </c>
      <c r="H80" s="38">
        <f>1 / Items[[#This Row],[Cycle Time for One]]</f>
        <v>0.125</v>
      </c>
      <c r="I80" s="36" t="b">
        <f>IFERROR(OR(Items[[#This Row],[Name]] = SelectedName, INDEX(CraftingTypes[Include], MATCH(Items[[#This Row],[Producer Type]], CraftingTypes[Producer Type], 0))), FALSE)</f>
        <v>1</v>
      </c>
      <c r="J80" s="38">
        <f>IF(Items[[#This Row],[Name]] = SelectedName, 1, IF(NOT(Items[[#This Row],[Include]]), 0, SUMIFS(RecipeTotals.Quantity, RecipeTotals.Name, SelectedName, RecipeTotals.Component, Items[[#This Row],[Name]])))</f>
        <v>0</v>
      </c>
      <c r="K80" s="38">
        <f>IFERROR(Items[[#This Row],[Selected Count]] / CycleTime.Actual, "")</f>
        <v>0</v>
      </c>
      <c r="L80" s="38">
        <f>IFERROR(Items[[#This Row],[Selected Per Second]] / Items[[#This Row],[Per Second]], "")</f>
        <v>0</v>
      </c>
      <c r="M80" s="38">
        <f>IFERROR(Items[[#This Row],[Selected Per Second]] / Items[[#This Row],[Per Second]], "")</f>
        <v>0</v>
      </c>
      <c r="N80" s="38">
        <f>IFERROR(CEILING(Items[[#This Row],[Fractional Producers for Selected Count]], 1), 0)</f>
        <v>0</v>
      </c>
      <c r="O80" s="38" t="str">
        <f>IF(AND(Items[[#This Row],[Producers For Selected Count]] &gt; 0, Items[[#This Row],[Include]]), ROW() - ROW(Items[#Headers]), "")</f>
        <v/>
      </c>
      <c r="P80" s="38" t="str">
        <f>IFERROR(SMALL(Items[Include Row Index], ROW() - ROW(Items[#Headers])), "")</f>
        <v/>
      </c>
      <c r="R80" t="s">
        <v>53</v>
      </c>
      <c r="S80" t="s">
        <v>8</v>
      </c>
      <c r="T80">
        <v>1</v>
      </c>
      <c r="U80" t="str">
        <f>IFERROR(IF(INDEX(Items[Selected Count], MATCH(Recipes[[#This Row],[Name]], Items[Name], 0)) &gt; 0, ROW() - ROW(Recipes[#Headers]), ""), "")</f>
        <v/>
      </c>
      <c r="V80" t="str">
        <f>IFERROR(SMALL(Recipes[Selected], ROW() - ROW(Recipes[#Headers])), "")</f>
        <v/>
      </c>
      <c r="W80" t="str">
        <f>IFERROR(INDEX(Recipes[Name], Recipes[[#This Row],[Selected Sorted]]), "")</f>
        <v/>
      </c>
      <c r="X80" t="str">
        <f>IFERROR(INDEX(Recipes[Component], Recipes[[#This Row],[Selected Sorted]]), "")</f>
        <v/>
      </c>
      <c r="Y80" s="1" t="str">
        <f>IFERROR(INDEX(Recipes[Quantity], Recipes[[#This Row],[Selected Sorted]]), "")</f>
        <v/>
      </c>
      <c r="AA80" t="s">
        <v>116</v>
      </c>
      <c r="AB80" t="s">
        <v>5</v>
      </c>
      <c r="AC80">
        <v>5</v>
      </c>
      <c r="AD80" s="1" t="str">
        <f>IFERROR(IF(INDEX(Items[Selected Count], MATCH(Recipes2[[#This Row],[Name]], Items[Name], 0)) &gt; 0, ROW() - ROW(Recipes2[#Headers]), ""), "")</f>
        <v/>
      </c>
      <c r="AE80" s="1" t="str">
        <f>IFERROR(SMALL(Recipes2[Selected], ROW() - ROW(Recipes2[#Headers])), "")</f>
        <v/>
      </c>
      <c r="AF80" s="1" t="str">
        <f>IFERROR(INDEX(Recipes2[Name], Recipes2[[#This Row],[Selected Sorted]]), "")</f>
        <v/>
      </c>
      <c r="AG80" s="1" t="str">
        <f>IFERROR(INDEX(Recipes2[Component], Recipes2[[#This Row],[Selected Sorted]]), "")</f>
        <v/>
      </c>
      <c r="AH80" s="1" t="str">
        <f>IFERROR(INDEX(Recipes2[Quantity], Recipes2[[#This Row],[Selected Sorted]]), "")</f>
        <v/>
      </c>
    </row>
    <row r="81" spans="1:34" x14ac:dyDescent="0.25">
      <c r="A81" t="s">
        <v>78</v>
      </c>
      <c r="B81">
        <v>14</v>
      </c>
      <c r="C81">
        <f>MAX(Items[[#This Row],[Base Cycle Time]] / Items[[#This Row],[Speed]], MinInsertionTime) / Items[[#This Row],[Quantity Per Cycle]] / Items[[#This Row],[Bonus]]</f>
        <v>5.6</v>
      </c>
      <c r="D81" s="39">
        <v>2</v>
      </c>
      <c r="E81" t="s">
        <v>59</v>
      </c>
      <c r="F81" s="39">
        <f>INDEX(CraftingTypes[Speed], MATCH(Items[[#This Row],[Producer Type]], CraftingTypes[Producer Type], 0))</f>
        <v>1.25</v>
      </c>
      <c r="G81" s="39">
        <f>INDEX(CraftingTypes[Bonus], MATCH(Items[[#This Row],[Producer Type]], CraftingTypes[Producer Type], 0)) + 1</f>
        <v>1</v>
      </c>
      <c r="H81" s="38">
        <f>1 / Items[[#This Row],[Cycle Time for One]]</f>
        <v>0.17857142857142858</v>
      </c>
      <c r="I81" s="36" t="b">
        <f>IFERROR(OR(Items[[#This Row],[Name]] = SelectedName, INDEX(CraftingTypes[Include], MATCH(Items[[#This Row],[Producer Type]], CraftingTypes[Producer Type], 0))), FALSE)</f>
        <v>1</v>
      </c>
      <c r="J81" s="38">
        <f>IF(Items[[#This Row],[Name]] = SelectedName, 1, IF(NOT(Items[[#This Row],[Include]]), 0, SUMIFS(RecipeTotals.Quantity, RecipeTotals.Name, SelectedName, RecipeTotals.Component, Items[[#This Row],[Name]])))</f>
        <v>0</v>
      </c>
      <c r="K81" s="38">
        <f>IFERROR(Items[[#This Row],[Selected Count]] / CycleTime.Actual, "")</f>
        <v>0</v>
      </c>
      <c r="L81" s="38">
        <f>IFERROR(Items[[#This Row],[Selected Per Second]] / Items[[#This Row],[Per Second]], "")</f>
        <v>0</v>
      </c>
      <c r="M81" s="38">
        <f>IFERROR(Items[[#This Row],[Selected Per Second]] / Items[[#This Row],[Per Second]], "")</f>
        <v>0</v>
      </c>
      <c r="N81" s="38">
        <f>IFERROR(CEILING(Items[[#This Row],[Fractional Producers for Selected Count]], 1), 0)</f>
        <v>0</v>
      </c>
      <c r="O81" s="38" t="str">
        <f>IF(AND(Items[[#This Row],[Producers For Selected Count]] &gt; 0, Items[[#This Row],[Include]]), ROW() - ROW(Items[#Headers]), "")</f>
        <v/>
      </c>
      <c r="P81" s="38" t="str">
        <f>IFERROR(SMALL(Items[Include Row Index], ROW() - ROW(Items[#Headers])), "")</f>
        <v/>
      </c>
      <c r="R81" t="s">
        <v>53</v>
      </c>
      <c r="S81" t="s">
        <v>23</v>
      </c>
      <c r="T81">
        <v>2</v>
      </c>
      <c r="U81" t="str">
        <f>IFERROR(IF(INDEX(Items[Selected Count], MATCH(Recipes[[#This Row],[Name]], Items[Name], 0)) &gt; 0, ROW() - ROW(Recipes[#Headers]), ""), "")</f>
        <v/>
      </c>
      <c r="V81" t="str">
        <f>IFERROR(SMALL(Recipes[Selected], ROW() - ROW(Recipes[#Headers])), "")</f>
        <v/>
      </c>
      <c r="W81" t="str">
        <f>IFERROR(INDEX(Recipes[Name], Recipes[[#This Row],[Selected Sorted]]), "")</f>
        <v/>
      </c>
      <c r="X81" t="str">
        <f>IFERROR(INDEX(Recipes[Component], Recipes[[#This Row],[Selected Sorted]]), "")</f>
        <v/>
      </c>
      <c r="Y81" s="1" t="str">
        <f>IFERROR(INDEX(Recipes[Quantity], Recipes[[#This Row],[Selected Sorted]]), "")</f>
        <v/>
      </c>
      <c r="AA81" t="s">
        <v>54</v>
      </c>
      <c r="AB81" t="s">
        <v>5</v>
      </c>
      <c r="AC81">
        <v>2</v>
      </c>
      <c r="AD81" t="str">
        <f>IFERROR(IF(INDEX(Items[Selected Count], MATCH(Recipes2[[#This Row],[Name]], Items[Name], 0)) &gt; 0, ROW() - ROW(Recipes2[#Headers]), ""), "")</f>
        <v/>
      </c>
      <c r="AE81" t="str">
        <f>IFERROR(SMALL(Recipes2[Selected], ROW() - ROW(Recipes2[#Headers])), "")</f>
        <v/>
      </c>
      <c r="AF81" t="str">
        <f>IFERROR(INDEX(Recipes2[Name], Recipes2[[#This Row],[Selected Sorted]]), "")</f>
        <v/>
      </c>
      <c r="AG81" t="str">
        <f>IFERROR(INDEX(Recipes2[Component], Recipes2[[#This Row],[Selected Sorted]]), "")</f>
        <v/>
      </c>
      <c r="AH81" s="1" t="str">
        <f>IFERROR(INDEX(Recipes2[Quantity], Recipes2[[#This Row],[Selected Sorted]]), "")</f>
        <v/>
      </c>
    </row>
    <row r="82" spans="1:34" x14ac:dyDescent="0.25">
      <c r="A82" t="s">
        <v>117</v>
      </c>
      <c r="B82">
        <v>15</v>
      </c>
      <c r="C82" s="1">
        <f>MAX(Items[[#This Row],[Base Cycle Time]] / Items[[#This Row],[Speed]], MinInsertionTime) / Items[[#This Row],[Quantity Per Cycle]] / Items[[#This Row],[Bonus]]</f>
        <v>12</v>
      </c>
      <c r="D82" s="39">
        <v>1</v>
      </c>
      <c r="E82" t="s">
        <v>59</v>
      </c>
      <c r="F82" s="38">
        <f>INDEX(CraftingTypes[Speed], MATCH(Items[[#This Row],[Producer Type]], CraftingTypes[Producer Type], 0))</f>
        <v>1.25</v>
      </c>
      <c r="G82" s="38">
        <f>INDEX(CraftingTypes[Bonus], MATCH(Items[[#This Row],[Producer Type]], CraftingTypes[Producer Type], 0)) + 1</f>
        <v>1</v>
      </c>
      <c r="H82" s="38">
        <f>1 / Items[[#This Row],[Cycle Time for One]]</f>
        <v>8.3333333333333329E-2</v>
      </c>
      <c r="I82" s="36" t="b">
        <f>IFERROR(OR(Items[[#This Row],[Name]] = SelectedName, INDEX(CraftingTypes[Include], MATCH(Items[[#This Row],[Producer Type]], CraftingTypes[Producer Type], 0))), FALSE)</f>
        <v>1</v>
      </c>
      <c r="J82" s="38">
        <f>IF(Items[[#This Row],[Name]] = SelectedName, 1, IF(NOT(Items[[#This Row],[Include]]), 0, SUMIFS(RecipeTotals.Quantity, RecipeTotals.Name, SelectedName, RecipeTotals.Component, Items[[#This Row],[Name]])))</f>
        <v>0</v>
      </c>
      <c r="K82" s="38">
        <f>IFERROR(Items[[#This Row],[Selected Count]] / CycleTime.Actual, "")</f>
        <v>0</v>
      </c>
      <c r="L82" s="38">
        <f>IFERROR(Items[[#This Row],[Selected Per Second]] / Items[[#This Row],[Per Second]], "")</f>
        <v>0</v>
      </c>
      <c r="M82" s="38">
        <f>IFERROR(Items[[#This Row],[Selected Per Second]] / Items[[#This Row],[Per Second]], "")</f>
        <v>0</v>
      </c>
      <c r="N82" s="38">
        <f>IFERROR(CEILING(Items[[#This Row],[Fractional Producers for Selected Count]], 1), 0)</f>
        <v>0</v>
      </c>
      <c r="O82" s="38" t="str">
        <f>IF(AND(Items[[#This Row],[Producers For Selected Count]] &gt; 0, Items[[#This Row],[Include]]), ROW() - ROW(Items[#Headers]), "")</f>
        <v/>
      </c>
      <c r="P82" s="38" t="str">
        <f>IFERROR(SMALL(Items[Include Row Index], ROW() - ROW(Items[#Headers])), "")</f>
        <v/>
      </c>
      <c r="R82" t="s">
        <v>53</v>
      </c>
      <c r="S82" t="s">
        <v>35</v>
      </c>
      <c r="T82">
        <v>1</v>
      </c>
      <c r="U82" t="str">
        <f>IFERROR(IF(INDEX(Items[Selected Count], MATCH(Recipes[[#This Row],[Name]], Items[Name], 0)) &gt; 0, ROW() - ROW(Recipes[#Headers]), ""), "")</f>
        <v/>
      </c>
      <c r="V82" t="str">
        <f>IFERROR(SMALL(Recipes[Selected], ROW() - ROW(Recipes[#Headers])), "")</f>
        <v/>
      </c>
      <c r="W82" t="str">
        <f>IFERROR(INDEX(Recipes[Name], Recipes[[#This Row],[Selected Sorted]]), "")</f>
        <v/>
      </c>
      <c r="X82" t="str">
        <f>IFERROR(INDEX(Recipes[Component], Recipes[[#This Row],[Selected Sorted]]), "")</f>
        <v/>
      </c>
      <c r="Y82" s="1" t="str">
        <f>IFERROR(INDEX(Recipes[Quantity], Recipes[[#This Row],[Selected Sorted]]), "")</f>
        <v/>
      </c>
      <c r="AA82" t="s">
        <v>87</v>
      </c>
      <c r="AB82" t="s">
        <v>5</v>
      </c>
      <c r="AC82">
        <v>3</v>
      </c>
      <c r="AD82" s="1" t="str">
        <f>IFERROR(IF(INDEX(Items[Selected Count], MATCH(Recipes2[[#This Row],[Name]], Items[Name], 0)) &gt; 0, ROW() - ROW(Recipes2[#Headers]), ""), "")</f>
        <v/>
      </c>
      <c r="AE82" s="1" t="str">
        <f>IFERROR(SMALL(Recipes2[Selected], ROW() - ROW(Recipes2[#Headers])), "")</f>
        <v/>
      </c>
      <c r="AF82" s="1" t="str">
        <f>IFERROR(INDEX(Recipes2[Name], Recipes2[[#This Row],[Selected Sorted]]), "")</f>
        <v/>
      </c>
      <c r="AG82" s="1" t="str">
        <f>IFERROR(INDEX(Recipes2[Component], Recipes2[[#This Row],[Selected Sorted]]), "")</f>
        <v/>
      </c>
      <c r="AH82" s="1" t="str">
        <f>IFERROR(INDEX(Recipes2[Quantity], Recipes2[[#This Row],[Selected Sorted]]), "")</f>
        <v/>
      </c>
    </row>
    <row r="83" spans="1:34" x14ac:dyDescent="0.25">
      <c r="A83" t="s">
        <v>118</v>
      </c>
      <c r="B83">
        <v>30</v>
      </c>
      <c r="C83" s="1">
        <f>MAX(Items[[#This Row],[Base Cycle Time]] / Items[[#This Row],[Speed]], MinInsertionTime) / Items[[#This Row],[Quantity Per Cycle]] / Items[[#This Row],[Bonus]]</f>
        <v>24</v>
      </c>
      <c r="D83" s="39">
        <v>1</v>
      </c>
      <c r="E83" t="s">
        <v>59</v>
      </c>
      <c r="F83" s="38">
        <f>INDEX(CraftingTypes[Speed], MATCH(Items[[#This Row],[Producer Type]], CraftingTypes[Producer Type], 0))</f>
        <v>1.25</v>
      </c>
      <c r="G83" s="38">
        <f>INDEX(CraftingTypes[Bonus], MATCH(Items[[#This Row],[Producer Type]], CraftingTypes[Producer Type], 0)) + 1</f>
        <v>1</v>
      </c>
      <c r="H83" s="38">
        <f>1 / Items[[#This Row],[Cycle Time for One]]</f>
        <v>4.1666666666666664E-2</v>
      </c>
      <c r="I83" s="36" t="b">
        <f>IFERROR(OR(Items[[#This Row],[Name]] = SelectedName, INDEX(CraftingTypes[Include], MATCH(Items[[#This Row],[Producer Type]], CraftingTypes[Producer Type], 0))), FALSE)</f>
        <v>1</v>
      </c>
      <c r="J83" s="38">
        <f>IF(Items[[#This Row],[Name]] = SelectedName, 1, IF(NOT(Items[[#This Row],[Include]]), 0, SUMIFS(RecipeTotals.Quantity, RecipeTotals.Name, SelectedName, RecipeTotals.Component, Items[[#This Row],[Name]])))</f>
        <v>0</v>
      </c>
      <c r="K83" s="38">
        <f>IFERROR(Items[[#This Row],[Selected Count]] / CycleTime.Actual, "")</f>
        <v>0</v>
      </c>
      <c r="L83" s="38">
        <f>IFERROR(Items[[#This Row],[Selected Per Second]] / Items[[#This Row],[Per Second]], "")</f>
        <v>0</v>
      </c>
      <c r="M83" s="38">
        <f>IFERROR(Items[[#This Row],[Selected Per Second]] / Items[[#This Row],[Per Second]], "")</f>
        <v>0</v>
      </c>
      <c r="N83" s="38">
        <f>IFERROR(CEILING(Items[[#This Row],[Fractional Producers for Selected Count]], 1), 0)</f>
        <v>0</v>
      </c>
      <c r="O83" s="38" t="str">
        <f>IF(AND(Items[[#This Row],[Producers For Selected Count]] &gt; 0, Items[[#This Row],[Include]]), ROW() - ROW(Items[#Headers]), "")</f>
        <v/>
      </c>
      <c r="P83" s="38" t="str">
        <f>IFERROR(SMALL(Items[Include Row Index], ROW() - ROW(Items[#Headers])), "")</f>
        <v/>
      </c>
      <c r="R83" t="s">
        <v>139</v>
      </c>
      <c r="S83" t="s">
        <v>38</v>
      </c>
      <c r="T83">
        <v>1</v>
      </c>
      <c r="U83" s="1" t="str">
        <f>IFERROR(IF(INDEX(Items[Selected Count], MATCH(Recipes[[#This Row],[Name]], Items[Name], 0)) &gt; 0, ROW() - ROW(Recipes[#Headers]), ""), "")</f>
        <v/>
      </c>
      <c r="V83" s="1" t="str">
        <f>IFERROR(SMALL(Recipes[Selected], ROW() - ROW(Recipes[#Headers])), "")</f>
        <v/>
      </c>
      <c r="W83" s="1" t="str">
        <f>IFERROR(INDEX(Recipes[Name], Recipes[[#This Row],[Selected Sorted]]), "")</f>
        <v/>
      </c>
      <c r="X83" s="1" t="str">
        <f>IFERROR(INDEX(Recipes[Component], Recipes[[#This Row],[Selected Sorted]]), "")</f>
        <v/>
      </c>
      <c r="Y83" s="1" t="str">
        <f>IFERROR(INDEX(Recipes[Quantity], Recipes[[#This Row],[Selected Sorted]]), "")</f>
        <v/>
      </c>
      <c r="AA83" t="s">
        <v>44</v>
      </c>
      <c r="AB83" t="s">
        <v>5</v>
      </c>
      <c r="AC83">
        <v>2</v>
      </c>
      <c r="AD83" t="str">
        <f>IFERROR(IF(INDEX(Items[Selected Count], MATCH(Recipes2[[#This Row],[Name]], Items[Name], 0)) &gt; 0, ROW() - ROW(Recipes2[#Headers]), ""), "")</f>
        <v/>
      </c>
      <c r="AE83" t="str">
        <f>IFERROR(SMALL(Recipes2[Selected], ROW() - ROW(Recipes2[#Headers])), "")</f>
        <v/>
      </c>
      <c r="AF83" t="str">
        <f>IFERROR(INDEX(Recipes2[Name], Recipes2[[#This Row],[Selected Sorted]]), "")</f>
        <v/>
      </c>
      <c r="AG83" t="str">
        <f>IFERROR(INDEX(Recipes2[Component], Recipes2[[#This Row],[Selected Sorted]]), "")</f>
        <v/>
      </c>
      <c r="AH83" s="1" t="str">
        <f>IFERROR(INDEX(Recipes2[Quantity], Recipes2[[#This Row],[Selected Sorted]]), "")</f>
        <v/>
      </c>
    </row>
    <row r="84" spans="1:34" x14ac:dyDescent="0.25">
      <c r="A84" t="s">
        <v>119</v>
      </c>
      <c r="B84">
        <v>60</v>
      </c>
      <c r="C84" s="1">
        <f>MAX(Items[[#This Row],[Base Cycle Time]] / Items[[#This Row],[Speed]], MinInsertionTime) / Items[[#This Row],[Quantity Per Cycle]] / Items[[#This Row],[Bonus]]</f>
        <v>48</v>
      </c>
      <c r="D84" s="39">
        <v>1</v>
      </c>
      <c r="E84" t="s">
        <v>59</v>
      </c>
      <c r="F84" s="38">
        <f>INDEX(CraftingTypes[Speed], MATCH(Items[[#This Row],[Producer Type]], CraftingTypes[Producer Type], 0))</f>
        <v>1.25</v>
      </c>
      <c r="G84" s="38">
        <f>INDEX(CraftingTypes[Bonus], MATCH(Items[[#This Row],[Producer Type]], CraftingTypes[Producer Type], 0)) + 1</f>
        <v>1</v>
      </c>
      <c r="H84" s="38">
        <f>1 / Items[[#This Row],[Cycle Time for One]]</f>
        <v>2.0833333333333332E-2</v>
      </c>
      <c r="I84" s="36" t="b">
        <f>IFERROR(OR(Items[[#This Row],[Name]] = SelectedName, INDEX(CraftingTypes[Include], MATCH(Items[[#This Row],[Producer Type]], CraftingTypes[Producer Type], 0))), FALSE)</f>
        <v>1</v>
      </c>
      <c r="J84" s="38">
        <f>IF(Items[[#This Row],[Name]] = SelectedName, 1, IF(NOT(Items[[#This Row],[Include]]), 0, SUMIFS(RecipeTotals.Quantity, RecipeTotals.Name, SelectedName, RecipeTotals.Component, Items[[#This Row],[Name]])))</f>
        <v>0</v>
      </c>
      <c r="K84" s="38">
        <f>IFERROR(Items[[#This Row],[Selected Count]] / CycleTime.Actual, "")</f>
        <v>0</v>
      </c>
      <c r="L84" s="38">
        <f>IFERROR(Items[[#This Row],[Selected Per Second]] / Items[[#This Row],[Per Second]], "")</f>
        <v>0</v>
      </c>
      <c r="M84" s="38">
        <f>IFERROR(Items[[#This Row],[Selected Per Second]] / Items[[#This Row],[Per Second]], "")</f>
        <v>0</v>
      </c>
      <c r="N84" s="38">
        <f>IFERROR(CEILING(Items[[#This Row],[Fractional Producers for Selected Count]], 1), 0)</f>
        <v>0</v>
      </c>
      <c r="O84" s="38" t="str">
        <f>IF(AND(Items[[#This Row],[Producers For Selected Count]] &gt; 0, Items[[#This Row],[Include]]), ROW() - ROW(Items[#Headers]), "")</f>
        <v/>
      </c>
      <c r="P84" s="38" t="str">
        <f>IFERROR(SMALL(Items[Include Row Index], ROW() - ROW(Items[#Headers])), "")</f>
        <v/>
      </c>
      <c r="R84" t="s">
        <v>139</v>
      </c>
      <c r="S84" t="s">
        <v>64</v>
      </c>
      <c r="T84">
        <v>1</v>
      </c>
      <c r="U84" s="1" t="str">
        <f>IFERROR(IF(INDEX(Items[Selected Count], MATCH(Recipes[[#This Row],[Name]], Items[Name], 0)) &gt; 0, ROW() - ROW(Recipes[#Headers]), ""), "")</f>
        <v/>
      </c>
      <c r="V84" s="1" t="str">
        <f>IFERROR(SMALL(Recipes[Selected], ROW() - ROW(Recipes[#Headers])), "")</f>
        <v/>
      </c>
      <c r="W84" s="1" t="str">
        <f>IFERROR(INDEX(Recipes[Name], Recipes[[#This Row],[Selected Sorted]]), "")</f>
        <v/>
      </c>
      <c r="X84" s="1" t="str">
        <f>IFERROR(INDEX(Recipes[Component], Recipes[[#This Row],[Selected Sorted]]), "")</f>
        <v/>
      </c>
      <c r="Y84" s="1" t="str">
        <f>IFERROR(INDEX(Recipes[Quantity], Recipes[[#This Row],[Selected Sorted]]), "")</f>
        <v/>
      </c>
      <c r="AA84" t="s">
        <v>31</v>
      </c>
      <c r="AB84" t="s">
        <v>5</v>
      </c>
      <c r="AC84">
        <v>10</v>
      </c>
      <c r="AD84" t="str">
        <f>IFERROR(IF(INDEX(Items[Selected Count], MATCH(Recipes2[[#This Row],[Name]], Items[Name], 0)) &gt; 0, ROW() - ROW(Recipes2[#Headers]), ""), "")</f>
        <v/>
      </c>
      <c r="AE84" t="str">
        <f>IFERROR(SMALL(Recipes2[Selected], ROW() - ROW(Recipes2[#Headers])), "")</f>
        <v/>
      </c>
      <c r="AF84" t="str">
        <f>IFERROR(INDEX(Recipes2[Name], Recipes2[[#This Row],[Selected Sorted]]), "")</f>
        <v/>
      </c>
      <c r="AG84" t="str">
        <f>IFERROR(INDEX(Recipes2[Component], Recipes2[[#This Row],[Selected Sorted]]), "")</f>
        <v/>
      </c>
      <c r="AH84" s="1" t="str">
        <f>IFERROR(INDEX(Recipes2[Quantity], Recipes2[[#This Row],[Selected Sorted]]), "")</f>
        <v/>
      </c>
    </row>
    <row r="85" spans="1:34" x14ac:dyDescent="0.25">
      <c r="A85" t="s">
        <v>153</v>
      </c>
      <c r="B85">
        <v>2</v>
      </c>
      <c r="C85" s="1">
        <f>MAX(Items[[#This Row],[Base Cycle Time]] / Items[[#This Row],[Speed]], MinInsertionTime) / Items[[#This Row],[Quantity Per Cycle]] / Items[[#This Row],[Bonus]]</f>
        <v>1.6</v>
      </c>
      <c r="D85" s="39">
        <v>1</v>
      </c>
      <c r="E85" t="s">
        <v>59</v>
      </c>
      <c r="F85" s="38">
        <f>INDEX(CraftingTypes[Speed], MATCH(Items[[#This Row],[Producer Type]], CraftingTypes[Producer Type], 0))</f>
        <v>1.25</v>
      </c>
      <c r="G85" s="38">
        <f>INDEX(CraftingTypes[Bonus], MATCH(Items[[#This Row],[Producer Type]], CraftingTypes[Producer Type], 0)) + 1</f>
        <v>1</v>
      </c>
      <c r="H85" s="38">
        <f>1 / Items[[#This Row],[Cycle Time for One]]</f>
        <v>0.625</v>
      </c>
      <c r="I85" s="36" t="b">
        <f>IFERROR(OR(Items[[#This Row],[Name]] = SelectedName, INDEX(CraftingTypes[Include], MATCH(Items[[#This Row],[Producer Type]], CraftingTypes[Producer Type], 0))), FALSE)</f>
        <v>1</v>
      </c>
      <c r="J85" s="38">
        <f>IF(Items[[#This Row],[Name]] = SelectedName, 1, IF(NOT(Items[[#This Row],[Include]]), 0, SUMIFS(RecipeTotals.Quantity, RecipeTotals.Name, SelectedName, RecipeTotals.Component, Items[[#This Row],[Name]])))</f>
        <v>0</v>
      </c>
      <c r="K85" s="38">
        <f>IFERROR(Items[[#This Row],[Selected Count]] / CycleTime.Actual, "")</f>
        <v>0</v>
      </c>
      <c r="L85" s="38">
        <f>IFERROR(Items[[#This Row],[Selected Per Second]] / Items[[#This Row],[Per Second]], "")</f>
        <v>0</v>
      </c>
      <c r="M85" s="38">
        <f>IFERROR(Items[[#This Row],[Selected Per Second]] / Items[[#This Row],[Per Second]], "")</f>
        <v>0</v>
      </c>
      <c r="N85" s="38">
        <f>IFERROR(CEILING(Items[[#This Row],[Fractional Producers for Selected Count]], 1), 0)</f>
        <v>0</v>
      </c>
      <c r="O85" s="38" t="str">
        <f>IF(AND(Items[[#This Row],[Producers For Selected Count]] &gt; 0, Items[[#This Row],[Include]]), ROW() - ROW(Items[#Headers]), "")</f>
        <v/>
      </c>
      <c r="P85" s="38" t="str">
        <f>IFERROR(SMALL(Items[Include Row Index], ROW() - ROW(Items[#Headers])), "")</f>
        <v/>
      </c>
      <c r="R85" t="s">
        <v>139</v>
      </c>
      <c r="S85" t="s">
        <v>63</v>
      </c>
      <c r="T85">
        <v>10</v>
      </c>
      <c r="U85" s="1" t="str">
        <f>IFERROR(IF(INDEX(Items[Selected Count], MATCH(Recipes[[#This Row],[Name]], Items[Name], 0)) &gt; 0, ROW() - ROW(Recipes[#Headers]), ""), "")</f>
        <v/>
      </c>
      <c r="V85" s="1" t="str">
        <f>IFERROR(SMALL(Recipes[Selected], ROW() - ROW(Recipes[#Headers])), "")</f>
        <v/>
      </c>
      <c r="W85" s="1" t="str">
        <f>IFERROR(INDEX(Recipes[Name], Recipes[[#This Row],[Selected Sorted]]), "")</f>
        <v/>
      </c>
      <c r="X85" s="1" t="str">
        <f>IFERROR(INDEX(Recipes[Component], Recipes[[#This Row],[Selected Sorted]]), "")</f>
        <v/>
      </c>
      <c r="Y85" s="1" t="str">
        <f>IFERROR(INDEX(Recipes[Quantity], Recipes[[#This Row],[Selected Sorted]]), "")</f>
        <v/>
      </c>
      <c r="AA85" t="s">
        <v>45</v>
      </c>
      <c r="AB85" t="s">
        <v>5</v>
      </c>
      <c r="AC85">
        <v>4</v>
      </c>
      <c r="AD85" t="str">
        <f>IFERROR(IF(INDEX(Items[Selected Count], MATCH(Recipes2[[#This Row],[Name]], Items[Name], 0)) &gt; 0, ROW() - ROW(Recipes2[#Headers]), ""), "")</f>
        <v/>
      </c>
      <c r="AE85" t="str">
        <f>IFERROR(SMALL(Recipes2[Selected], ROW() - ROW(Recipes2[#Headers])), "")</f>
        <v/>
      </c>
      <c r="AF85" t="str">
        <f>IFERROR(INDEX(Recipes2[Name], Recipes2[[#This Row],[Selected Sorted]]), "")</f>
        <v/>
      </c>
      <c r="AG85" t="str">
        <f>IFERROR(INDEX(Recipes2[Component], Recipes2[[#This Row],[Selected Sorted]]), "")</f>
        <v/>
      </c>
      <c r="AH85" s="1" t="str">
        <f>IFERROR(INDEX(Recipes2[Quantity], Recipes2[[#This Row],[Selected Sorted]]), "")</f>
        <v/>
      </c>
    </row>
    <row r="86" spans="1:34" x14ac:dyDescent="0.25">
      <c r="A86" t="s">
        <v>79</v>
      </c>
      <c r="B86">
        <v>10</v>
      </c>
      <c r="C86">
        <f>MAX(Items[[#This Row],[Base Cycle Time]] / Items[[#This Row],[Speed]], MinInsertionTime) / Items[[#This Row],[Quantity Per Cycle]] / Items[[#This Row],[Bonus]]</f>
        <v>8</v>
      </c>
      <c r="D86" s="39">
        <v>1</v>
      </c>
      <c r="E86" t="s">
        <v>59</v>
      </c>
      <c r="F86" s="39">
        <f>INDEX(CraftingTypes[Speed], MATCH(Items[[#This Row],[Producer Type]], CraftingTypes[Producer Type], 0))</f>
        <v>1.25</v>
      </c>
      <c r="G86" s="39">
        <f>INDEX(CraftingTypes[Bonus], MATCH(Items[[#This Row],[Producer Type]], CraftingTypes[Producer Type], 0)) + 1</f>
        <v>1</v>
      </c>
      <c r="H86" s="38">
        <f>1 / Items[[#This Row],[Cycle Time for One]]</f>
        <v>0.125</v>
      </c>
      <c r="I86" s="36" t="b">
        <f>IFERROR(OR(Items[[#This Row],[Name]] = SelectedName, INDEX(CraftingTypes[Include], MATCH(Items[[#This Row],[Producer Type]], CraftingTypes[Producer Type], 0))), FALSE)</f>
        <v>1</v>
      </c>
      <c r="J86" s="38">
        <f>IF(Items[[#This Row],[Name]] = SelectedName, 1, IF(NOT(Items[[#This Row],[Include]]), 0, SUMIFS(RecipeTotals.Quantity, RecipeTotals.Name, SelectedName, RecipeTotals.Component, Items[[#This Row],[Name]])))</f>
        <v>0</v>
      </c>
      <c r="K86" s="38">
        <f>IFERROR(Items[[#This Row],[Selected Count]] / CycleTime.Actual, "")</f>
        <v>0</v>
      </c>
      <c r="L86" s="38">
        <f>IFERROR(Items[[#This Row],[Selected Per Second]] / Items[[#This Row],[Per Second]], "")</f>
        <v>0</v>
      </c>
      <c r="M86" s="38">
        <f>IFERROR(Items[[#This Row],[Selected Per Second]] / Items[[#This Row],[Per Second]], "")</f>
        <v>0</v>
      </c>
      <c r="N86" s="38">
        <f>IFERROR(CEILING(Items[[#This Row],[Fractional Producers for Selected Count]], 1), 0)</f>
        <v>0</v>
      </c>
      <c r="O86" s="38" t="str">
        <f>IF(AND(Items[[#This Row],[Producers For Selected Count]] &gt; 0, Items[[#This Row],[Include]]), ROW() - ROW(Items[#Headers]), "")</f>
        <v/>
      </c>
      <c r="P86" s="38" t="str">
        <f>IFERROR(SMALL(Items[Include Row Index], ROW() - ROW(Items[#Headers])), "")</f>
        <v/>
      </c>
      <c r="R86" t="s">
        <v>32</v>
      </c>
      <c r="S86" t="s">
        <v>6</v>
      </c>
      <c r="T86">
        <v>10</v>
      </c>
      <c r="U86" t="str">
        <f>IFERROR(IF(INDEX(Items[Selected Count], MATCH(Recipes[[#This Row],[Name]], Items[Name], 0)) &gt; 0, ROW() - ROW(Recipes[#Headers]), ""), "")</f>
        <v/>
      </c>
      <c r="V86" t="str">
        <f>IFERROR(SMALL(Recipes[Selected], ROW() - ROW(Recipes[#Headers])), "")</f>
        <v/>
      </c>
      <c r="W86" t="str">
        <f>IFERROR(INDEX(Recipes[Name], Recipes[[#This Row],[Selected Sorted]]), "")</f>
        <v/>
      </c>
      <c r="X86" t="str">
        <f>IFERROR(INDEX(Recipes[Component], Recipes[[#This Row],[Selected Sorted]]), "")</f>
        <v/>
      </c>
      <c r="Y86" s="1" t="str">
        <f>IFERROR(INDEX(Recipes[Quantity], Recipes[[#This Row],[Selected Sorted]]), "")</f>
        <v/>
      </c>
      <c r="AA86" t="s">
        <v>55</v>
      </c>
      <c r="AB86" t="s">
        <v>5</v>
      </c>
      <c r="AC86">
        <v>3</v>
      </c>
      <c r="AD86" t="str">
        <f>IFERROR(IF(INDEX(Items[Selected Count], MATCH(Recipes2[[#This Row],[Name]], Items[Name], 0)) &gt; 0, ROW() - ROW(Recipes2[#Headers]), ""), "")</f>
        <v/>
      </c>
      <c r="AE86" t="str">
        <f>IFERROR(SMALL(Recipes2[Selected], ROW() - ROW(Recipes2[#Headers])), "")</f>
        <v/>
      </c>
      <c r="AF86" t="str">
        <f>IFERROR(INDEX(Recipes2[Name], Recipes2[[#This Row],[Selected Sorted]]), "")</f>
        <v/>
      </c>
      <c r="AG86" t="str">
        <f>IFERROR(INDEX(Recipes2[Component], Recipes2[[#This Row],[Selected Sorted]]), "")</f>
        <v/>
      </c>
      <c r="AH86" s="1" t="str">
        <f>IFERROR(INDEX(Recipes2[Quantity], Recipes2[[#This Row],[Selected Sorted]]), "")</f>
        <v/>
      </c>
    </row>
    <row r="87" spans="1:34" x14ac:dyDescent="0.25">
      <c r="A87" t="s">
        <v>69</v>
      </c>
      <c r="B87">
        <v>0.5</v>
      </c>
      <c r="C87">
        <f>MAX(Items[[#This Row],[Base Cycle Time]] / Items[[#This Row],[Speed]], MinInsertionTime) / Items[[#This Row],[Quantity Per Cycle]] / Items[[#This Row],[Bonus]]</f>
        <v>0.4</v>
      </c>
      <c r="D87" s="39">
        <v>1</v>
      </c>
      <c r="E87" t="s">
        <v>59</v>
      </c>
      <c r="F87" s="39">
        <f>INDEX(CraftingTypes[Speed], MATCH(Items[[#This Row],[Producer Type]], CraftingTypes[Producer Type], 0))</f>
        <v>1.25</v>
      </c>
      <c r="G87" s="39">
        <f>INDEX(CraftingTypes[Bonus], MATCH(Items[[#This Row],[Producer Type]], CraftingTypes[Producer Type], 0)) + 1</f>
        <v>1</v>
      </c>
      <c r="H87" s="38">
        <f>1 / Items[[#This Row],[Cycle Time for One]]</f>
        <v>2.5</v>
      </c>
      <c r="I87" s="36" t="b">
        <f>IFERROR(OR(Items[[#This Row],[Name]] = SelectedName, INDEX(CraftingTypes[Include], MATCH(Items[[#This Row],[Producer Type]], CraftingTypes[Producer Type], 0))), FALSE)</f>
        <v>1</v>
      </c>
      <c r="J87" s="38">
        <f>IF(Items[[#This Row],[Name]] = SelectedName, 1, IF(NOT(Items[[#This Row],[Include]]), 0, SUMIFS(RecipeTotals.Quantity, RecipeTotals.Name, SelectedName, RecipeTotals.Component, Items[[#This Row],[Name]])))</f>
        <v>0</v>
      </c>
      <c r="K87" s="38">
        <f>IFERROR(Items[[#This Row],[Selected Count]] / CycleTime.Actual, "")</f>
        <v>0</v>
      </c>
      <c r="L87" s="38">
        <f>IFERROR(Items[[#This Row],[Selected Per Second]] / Items[[#This Row],[Per Second]], "")</f>
        <v>0</v>
      </c>
      <c r="M87" s="38">
        <f>IFERROR(Items[[#This Row],[Selected Per Second]] / Items[[#This Row],[Per Second]], "")</f>
        <v>0</v>
      </c>
      <c r="N87" s="38">
        <f>IFERROR(CEILING(Items[[#This Row],[Fractional Producers for Selected Count]], 1), 0)</f>
        <v>0</v>
      </c>
      <c r="O87" s="38" t="str">
        <f>IF(AND(Items[[#This Row],[Producers For Selected Count]] &gt; 0, Items[[#This Row],[Include]]), ROW() - ROW(Items[#Headers]), "")</f>
        <v/>
      </c>
      <c r="P87" s="38" t="str">
        <f>IFERROR(SMALL(Items[Include Row Index], ROW() - ROW(Items[#Headers])), "")</f>
        <v/>
      </c>
      <c r="R87" t="s">
        <v>32</v>
      </c>
      <c r="S87" t="s">
        <v>31</v>
      </c>
      <c r="T87">
        <v>1</v>
      </c>
      <c r="U87" t="str">
        <f>IFERROR(IF(INDEX(Items[Selected Count], MATCH(Recipes[[#This Row],[Name]], Items[Name], 0)) &gt; 0, ROW() - ROW(Recipes[#Headers]), ""), "")</f>
        <v/>
      </c>
      <c r="V87" t="str">
        <f>IFERROR(SMALL(Recipes[Selected], ROW() - ROW(Recipes[#Headers])), "")</f>
        <v/>
      </c>
      <c r="W87" t="str">
        <f>IFERROR(INDEX(Recipes[Name], Recipes[[#This Row],[Selected Sorted]]), "")</f>
        <v/>
      </c>
      <c r="X87" t="str">
        <f>IFERROR(INDEX(Recipes[Component], Recipes[[#This Row],[Selected Sorted]]), "")</f>
        <v/>
      </c>
      <c r="Y87" s="1" t="str">
        <f>IFERROR(INDEX(Recipes[Quantity], Recipes[[#This Row],[Selected Sorted]]), "")</f>
        <v/>
      </c>
      <c r="AA87" t="s">
        <v>42</v>
      </c>
      <c r="AB87" t="s">
        <v>5</v>
      </c>
      <c r="AC87">
        <v>1</v>
      </c>
      <c r="AD87" t="str">
        <f>IFERROR(IF(INDEX(Items[Selected Count], MATCH(Recipes2[[#This Row],[Name]], Items[Name], 0)) &gt; 0, ROW() - ROW(Recipes2[#Headers]), ""), "")</f>
        <v/>
      </c>
      <c r="AE87" t="str">
        <f>IFERROR(SMALL(Recipes2[Selected], ROW() - ROW(Recipes2[#Headers])), "")</f>
        <v/>
      </c>
      <c r="AF87" t="str">
        <f>IFERROR(INDEX(Recipes2[Name], Recipes2[[#This Row],[Selected Sorted]]), "")</f>
        <v/>
      </c>
      <c r="AG87" t="str">
        <f>IFERROR(INDEX(Recipes2[Component], Recipes2[[#This Row],[Selected Sorted]]), "")</f>
        <v/>
      </c>
      <c r="AH87" s="1" t="str">
        <f>IFERROR(INDEX(Recipes2[Quantity], Recipes2[[#This Row],[Selected Sorted]]), "")</f>
        <v/>
      </c>
    </row>
    <row r="88" spans="1:34" x14ac:dyDescent="0.25">
      <c r="A88" t="s">
        <v>157</v>
      </c>
      <c r="B88">
        <v>0.5</v>
      </c>
      <c r="C88" s="1">
        <f>MAX(Items[[#This Row],[Base Cycle Time]] / Items[[#This Row],[Speed]], MinInsertionTime) / Items[[#This Row],[Quantity Per Cycle]] / Items[[#This Row],[Bonus]]</f>
        <v>0.4</v>
      </c>
      <c r="D88" s="39">
        <v>1</v>
      </c>
      <c r="E88" t="s">
        <v>59</v>
      </c>
      <c r="F88" s="38">
        <f>INDEX(CraftingTypes[Speed], MATCH(Items[[#This Row],[Producer Type]], CraftingTypes[Producer Type], 0))</f>
        <v>1.25</v>
      </c>
      <c r="G88" s="38">
        <f>INDEX(CraftingTypes[Bonus], MATCH(Items[[#This Row],[Producer Type]], CraftingTypes[Producer Type], 0)) + 1</f>
        <v>1</v>
      </c>
      <c r="H88" s="38">
        <f>1 / Items[[#This Row],[Cycle Time for One]]</f>
        <v>2.5</v>
      </c>
      <c r="I88" s="36" t="b">
        <f>IFERROR(OR(Items[[#This Row],[Name]] = SelectedName, INDEX(CraftingTypes[Include], MATCH(Items[[#This Row],[Producer Type]], CraftingTypes[Producer Type], 0))), FALSE)</f>
        <v>1</v>
      </c>
      <c r="J88" s="38">
        <f>IF(Items[[#This Row],[Name]] = SelectedName, 1, IF(NOT(Items[[#This Row],[Include]]), 0, SUMIFS(RecipeTotals.Quantity, RecipeTotals.Name, SelectedName, RecipeTotals.Component, Items[[#This Row],[Name]])))</f>
        <v>0</v>
      </c>
      <c r="K88" s="38">
        <f>IFERROR(Items[[#This Row],[Selected Count]] / CycleTime.Actual, "")</f>
        <v>0</v>
      </c>
      <c r="L88" s="38">
        <f>IFERROR(Items[[#This Row],[Selected Per Second]] / Items[[#This Row],[Per Second]], "")</f>
        <v>0</v>
      </c>
      <c r="M88" s="38">
        <f>IFERROR(Items[[#This Row],[Selected Per Second]] / Items[[#This Row],[Per Second]], "")</f>
        <v>0</v>
      </c>
      <c r="N88" s="38">
        <f>IFERROR(CEILING(Items[[#This Row],[Fractional Producers for Selected Count]], 1), 0)</f>
        <v>0</v>
      </c>
      <c r="O88" s="38" t="str">
        <f>IF(AND(Items[[#This Row],[Producers For Selected Count]] &gt; 0, Items[[#This Row],[Include]]), ROW() - ROW(Items[#Headers]), "")</f>
        <v/>
      </c>
      <c r="P88" s="38" t="str">
        <f>IFERROR(SMALL(Items[Include Row Index], ROW() - ROW(Items[#Headers])), "")</f>
        <v/>
      </c>
      <c r="R88" t="s">
        <v>32</v>
      </c>
      <c r="S88" t="s">
        <v>8</v>
      </c>
      <c r="T88">
        <v>10</v>
      </c>
      <c r="U88" t="str">
        <f>IFERROR(IF(INDEX(Items[Selected Count], MATCH(Recipes[[#This Row],[Name]], Items[Name], 0)) &gt; 0, ROW() - ROW(Recipes[#Headers]), ""), "")</f>
        <v/>
      </c>
      <c r="V88" t="str">
        <f>IFERROR(SMALL(Recipes[Selected], ROW() - ROW(Recipes[#Headers])), "")</f>
        <v/>
      </c>
      <c r="W88" t="str">
        <f>IFERROR(INDEX(Recipes[Name], Recipes[[#This Row],[Selected Sorted]]), "")</f>
        <v/>
      </c>
      <c r="X88" t="str">
        <f>IFERROR(INDEX(Recipes[Component], Recipes[[#This Row],[Selected Sorted]]), "")</f>
        <v/>
      </c>
      <c r="Y88" s="1" t="str">
        <f>IFERROR(INDEX(Recipes[Quantity], Recipes[[#This Row],[Selected Sorted]]), "")</f>
        <v/>
      </c>
      <c r="AA88" t="s">
        <v>150</v>
      </c>
      <c r="AB88" t="s">
        <v>5</v>
      </c>
      <c r="AC88">
        <v>10</v>
      </c>
      <c r="AD88" s="1" t="str">
        <f>IFERROR(IF(INDEX(Items[Selected Count], MATCH(Recipes2[[#This Row],[Name]], Items[Name], 0)) &gt; 0, ROW() - ROW(Recipes2[#Headers]), ""), "")</f>
        <v/>
      </c>
      <c r="AE88" s="1" t="str">
        <f>IFERROR(SMALL(Recipes2[Selected], ROW() - ROW(Recipes2[#Headers])), "")</f>
        <v/>
      </c>
      <c r="AF88" s="1" t="str">
        <f>IFERROR(INDEX(Recipes2[Name], Recipes2[[#This Row],[Selected Sorted]]), "")</f>
        <v/>
      </c>
      <c r="AG88" s="1" t="str">
        <f>IFERROR(INDEX(Recipes2[Component], Recipes2[[#This Row],[Selected Sorted]]), "")</f>
        <v/>
      </c>
      <c r="AH88" s="1" t="str">
        <f>IFERROR(INDEX(Recipes2[Quantity], Recipes2[[#This Row],[Selected Sorted]]), "")</f>
        <v/>
      </c>
    </row>
    <row r="89" spans="1:34" x14ac:dyDescent="0.25">
      <c r="A89" t="s">
        <v>156</v>
      </c>
      <c r="B89">
        <v>0.5</v>
      </c>
      <c r="C89" s="1">
        <f>MAX(Items[[#This Row],[Base Cycle Time]] / Items[[#This Row],[Speed]], MinInsertionTime) / Items[[#This Row],[Quantity Per Cycle]] / Items[[#This Row],[Bonus]]</f>
        <v>0.4</v>
      </c>
      <c r="D89" s="39">
        <v>1</v>
      </c>
      <c r="E89" t="s">
        <v>59</v>
      </c>
      <c r="F89" s="38">
        <f>INDEX(CraftingTypes[Speed], MATCH(Items[[#This Row],[Producer Type]], CraftingTypes[Producer Type], 0))</f>
        <v>1.25</v>
      </c>
      <c r="G89" s="38">
        <f>INDEX(CraftingTypes[Bonus], MATCH(Items[[#This Row],[Producer Type]], CraftingTypes[Producer Type], 0)) + 1</f>
        <v>1</v>
      </c>
      <c r="H89" s="38">
        <f>1 / Items[[#This Row],[Cycle Time for One]]</f>
        <v>2.5</v>
      </c>
      <c r="I89" s="36" t="b">
        <f>IFERROR(OR(Items[[#This Row],[Name]] = SelectedName, INDEX(CraftingTypes[Include], MATCH(Items[[#This Row],[Producer Type]], CraftingTypes[Producer Type], 0))), FALSE)</f>
        <v>1</v>
      </c>
      <c r="J89" s="38">
        <f>IF(Items[[#This Row],[Name]] = SelectedName, 1, IF(NOT(Items[[#This Row],[Include]]), 0, SUMIFS(RecipeTotals.Quantity, RecipeTotals.Name, SelectedName, RecipeTotals.Component, Items[[#This Row],[Name]])))</f>
        <v>0</v>
      </c>
      <c r="K89" s="38">
        <f>IFERROR(Items[[#This Row],[Selected Count]] / CycleTime.Actual, "")</f>
        <v>0</v>
      </c>
      <c r="L89" s="38">
        <f>IFERROR(Items[[#This Row],[Selected Per Second]] / Items[[#This Row],[Per Second]], "")</f>
        <v>0</v>
      </c>
      <c r="M89" s="38">
        <f>IFERROR(Items[[#This Row],[Selected Per Second]] / Items[[#This Row],[Per Second]], "")</f>
        <v>0</v>
      </c>
      <c r="N89" s="38">
        <f>IFERROR(CEILING(Items[[#This Row],[Fractional Producers for Selected Count]], 1), 0)</f>
        <v>0</v>
      </c>
      <c r="O89" s="38" t="str">
        <f>IF(AND(Items[[#This Row],[Producers For Selected Count]] &gt; 0, Items[[#This Row],[Include]]), ROW() - ROW(Items[#Headers]), "")</f>
        <v/>
      </c>
      <c r="P89" s="38" t="str">
        <f>IFERROR(SMALL(Items[Include Row Index], ROW() - ROW(Items[#Headers])), "")</f>
        <v/>
      </c>
      <c r="R89" t="s">
        <v>32</v>
      </c>
      <c r="S89" t="s">
        <v>33</v>
      </c>
      <c r="T89">
        <v>8</v>
      </c>
      <c r="U89" t="str">
        <f>IFERROR(IF(INDEX(Items[Selected Count], MATCH(Recipes[[#This Row],[Name]], Items[Name], 0)) &gt; 0, ROW() - ROW(Recipes[#Headers]), ""), "")</f>
        <v/>
      </c>
      <c r="V89" t="str">
        <f>IFERROR(SMALL(Recipes[Selected], ROW() - ROW(Recipes[#Headers])), "")</f>
        <v/>
      </c>
      <c r="W89" t="str">
        <f>IFERROR(INDEX(Recipes[Name], Recipes[[#This Row],[Selected Sorted]]), "")</f>
        <v/>
      </c>
      <c r="X89" t="str">
        <f>IFERROR(INDEX(Recipes[Component], Recipes[[#This Row],[Selected Sorted]]), "")</f>
        <v/>
      </c>
      <c r="Y89" s="1" t="str">
        <f>IFERROR(INDEX(Recipes[Quantity], Recipes[[#This Row],[Selected Sorted]]), "")</f>
        <v/>
      </c>
      <c r="AA89" t="s">
        <v>111</v>
      </c>
      <c r="AB89" t="s">
        <v>5</v>
      </c>
      <c r="AC89">
        <v>20</v>
      </c>
      <c r="AD89" s="1" t="str">
        <f>IFERROR(IF(INDEX(Items[Selected Count], MATCH(Recipes2[[#This Row],[Name]], Items[Name], 0)) &gt; 0, ROW() - ROW(Recipes2[#Headers]), ""), "")</f>
        <v/>
      </c>
      <c r="AE89" s="1" t="str">
        <f>IFERROR(SMALL(Recipes2[Selected], ROW() - ROW(Recipes2[#Headers])), "")</f>
        <v/>
      </c>
      <c r="AF89" s="1" t="str">
        <f>IFERROR(INDEX(Recipes2[Name], Recipes2[[#This Row],[Selected Sorted]]), "")</f>
        <v/>
      </c>
      <c r="AG89" s="1" t="str">
        <f>IFERROR(INDEX(Recipes2[Component], Recipes2[[#This Row],[Selected Sorted]]), "")</f>
        <v/>
      </c>
      <c r="AH89" s="1" t="str">
        <f>IFERROR(INDEX(Recipes2[Quantity], Recipes2[[#This Row],[Selected Sorted]]), "")</f>
        <v/>
      </c>
    </row>
    <row r="90" spans="1:34" x14ac:dyDescent="0.25">
      <c r="A90" t="s">
        <v>105</v>
      </c>
      <c r="B90">
        <v>0.5</v>
      </c>
      <c r="C90">
        <f>MAX(Items[[#This Row],[Base Cycle Time]] / Items[[#This Row],[Speed]], MinInsertionTime) / Items[[#This Row],[Quantity Per Cycle]] / Items[[#This Row],[Bonus]]</f>
        <v>0.5</v>
      </c>
      <c r="D90" s="39">
        <v>1</v>
      </c>
      <c r="E90" t="s">
        <v>189</v>
      </c>
      <c r="F90" s="38">
        <f>INDEX(CraftingTypes[Speed], MATCH(Items[[#This Row],[Producer Type]], CraftingTypes[Producer Type], 0))</f>
        <v>1</v>
      </c>
      <c r="G90" s="38">
        <f>INDEX(CraftingTypes[Bonus], MATCH(Items[[#This Row],[Producer Type]], CraftingTypes[Producer Type], 0)) + 1</f>
        <v>1</v>
      </c>
      <c r="H90" s="38">
        <f>1 / Items[[#This Row],[Cycle Time for One]]</f>
        <v>2</v>
      </c>
      <c r="I90" s="36" t="b">
        <f>IFERROR(OR(Items[[#This Row],[Name]] = SelectedName, INDEX(CraftingTypes[Include], MATCH(Items[[#This Row],[Producer Type]], CraftingTypes[Producer Type], 0))), FALSE)</f>
        <v>1</v>
      </c>
      <c r="J90" s="38">
        <f>IF(Items[[#This Row],[Name]] = SelectedName, 1, IF(NOT(Items[[#This Row],[Include]]), 0, SUMIFS(RecipeTotals.Quantity, RecipeTotals.Name, SelectedName, RecipeTotals.Component, Items[[#This Row],[Name]])))</f>
        <v>0</v>
      </c>
      <c r="K90" s="38">
        <f>IFERROR(Items[[#This Row],[Selected Count]] / CycleTime.Actual, "")</f>
        <v>0</v>
      </c>
      <c r="L90" s="38">
        <f>IFERROR(Items[[#This Row],[Selected Per Second]] / Items[[#This Row],[Per Second]], "")</f>
        <v>0</v>
      </c>
      <c r="M90" s="38">
        <f>IFERROR(Items[[#This Row],[Selected Per Second]] / Items[[#This Row],[Per Second]], "")</f>
        <v>0</v>
      </c>
      <c r="N90" s="38">
        <f>IFERROR(CEILING(Items[[#This Row],[Fractional Producers for Selected Count]], 1), 0)</f>
        <v>0</v>
      </c>
      <c r="O90" s="38" t="str">
        <f>IF(AND(Items[[#This Row],[Producers For Selected Count]] &gt; 0, Items[[#This Row],[Include]]), ROW() - ROW(Items[#Headers]), "")</f>
        <v/>
      </c>
      <c r="P90" s="38" t="str">
        <f>IFERROR(SMALL(Items[Include Row Index], ROW() - ROW(Items[#Headers])), "")</f>
        <v/>
      </c>
      <c r="R90" t="s">
        <v>26</v>
      </c>
      <c r="S90" t="s">
        <v>25</v>
      </c>
      <c r="T90">
        <v>1</v>
      </c>
      <c r="U90" t="str">
        <f>IFERROR(IF(INDEX(Items[Selected Count], MATCH(Recipes[[#This Row],[Name]], Items[Name], 0)) &gt; 0, ROW() - ROW(Recipes[#Headers]), ""), "")</f>
        <v/>
      </c>
      <c r="V90" t="str">
        <f>IFERROR(SMALL(Recipes[Selected], ROW() - ROW(Recipes[#Headers])), "")</f>
        <v/>
      </c>
      <c r="W90" t="str">
        <f>IFERROR(INDEX(Recipes[Name], Recipes[[#This Row],[Selected Sorted]]), "")</f>
        <v/>
      </c>
      <c r="X90" t="str">
        <f>IFERROR(INDEX(Recipes[Component], Recipes[[#This Row],[Selected Sorted]]), "")</f>
        <v/>
      </c>
      <c r="Y90" s="1" t="str">
        <f>IFERROR(INDEX(Recipes[Quantity], Recipes[[#This Row],[Selected Sorted]]), "")</f>
        <v/>
      </c>
      <c r="AA90" t="s">
        <v>158</v>
      </c>
      <c r="AB90" t="s">
        <v>5</v>
      </c>
      <c r="AC90">
        <v>20</v>
      </c>
      <c r="AD90" s="1" t="str">
        <f>IFERROR(IF(INDEX(Items[Selected Count], MATCH(Recipes2[[#This Row],[Name]], Items[Name], 0)) &gt; 0, ROW() - ROW(Recipes2[#Headers]), ""), "")</f>
        <v/>
      </c>
      <c r="AE90" s="1" t="str">
        <f>IFERROR(SMALL(Recipes2[Selected], ROW() - ROW(Recipes2[#Headers])), "")</f>
        <v/>
      </c>
      <c r="AF90" s="1" t="str">
        <f>IFERROR(INDEX(Recipes2[Name], Recipes2[[#This Row],[Selected Sorted]]), "")</f>
        <v/>
      </c>
      <c r="AG90" s="1" t="str">
        <f>IFERROR(INDEX(Recipes2[Component], Recipes2[[#This Row],[Selected Sorted]]), "")</f>
        <v/>
      </c>
      <c r="AH90" s="1" t="str">
        <f>IFERROR(INDEX(Recipes2[Quantity], Recipes2[[#This Row],[Selected Sorted]]), "")</f>
        <v/>
      </c>
    </row>
    <row r="91" spans="1:34" x14ac:dyDescent="0.25">
      <c r="A91" t="s">
        <v>142</v>
      </c>
      <c r="B91">
        <v>0.5</v>
      </c>
      <c r="C91" s="1">
        <f>MAX(Items[[#This Row],[Base Cycle Time]] / Items[[#This Row],[Speed]], MinInsertionTime) / Items[[#This Row],[Quantity Per Cycle]] / Items[[#This Row],[Bonus]]</f>
        <v>0.4</v>
      </c>
      <c r="D91" s="39">
        <v>1</v>
      </c>
      <c r="E91" t="s">
        <v>59</v>
      </c>
      <c r="F91" s="38">
        <f>INDEX(CraftingTypes[Speed], MATCH(Items[[#This Row],[Producer Type]], CraftingTypes[Producer Type], 0))</f>
        <v>1.25</v>
      </c>
      <c r="G91" s="38">
        <f>INDEX(CraftingTypes[Bonus], MATCH(Items[[#This Row],[Producer Type]], CraftingTypes[Producer Type], 0)) + 1</f>
        <v>1</v>
      </c>
      <c r="H91" s="38">
        <f>1 / Items[[#This Row],[Cycle Time for One]]</f>
        <v>2.5</v>
      </c>
      <c r="I91" s="36" t="b">
        <f>IFERROR(OR(Items[[#This Row],[Name]] = SelectedName, INDEX(CraftingTypes[Include], MATCH(Items[[#This Row],[Producer Type]], CraftingTypes[Producer Type], 0))), FALSE)</f>
        <v>1</v>
      </c>
      <c r="J91" s="38">
        <f>IF(Items[[#This Row],[Name]] = SelectedName, 1, IF(NOT(Items[[#This Row],[Include]]), 0, SUMIFS(RecipeTotals.Quantity, RecipeTotals.Name, SelectedName, RecipeTotals.Component, Items[[#This Row],[Name]])))</f>
        <v>0</v>
      </c>
      <c r="K91" s="38">
        <f>IFERROR(Items[[#This Row],[Selected Count]] / CycleTime.Actual, "")</f>
        <v>0</v>
      </c>
      <c r="L91" s="38">
        <f>IFERROR(Items[[#This Row],[Selected Per Second]] / Items[[#This Row],[Per Second]], "")</f>
        <v>0</v>
      </c>
      <c r="M91" s="38">
        <f>IFERROR(Items[[#This Row],[Selected Per Second]] / Items[[#This Row],[Per Second]], "")</f>
        <v>0</v>
      </c>
      <c r="N91" s="38">
        <f>IFERROR(CEILING(Items[[#This Row],[Fractional Producers for Selected Count]], 1), 0)</f>
        <v>0</v>
      </c>
      <c r="O91" s="38" t="str">
        <f>IF(AND(Items[[#This Row],[Producers For Selected Count]] &gt; 0, Items[[#This Row],[Include]]), ROW() - ROW(Items[#Headers]), "")</f>
        <v/>
      </c>
      <c r="P91" s="38" t="str">
        <f>IFERROR(SMALL(Items[Include Row Index], ROW() - ROW(Items[#Headers])), "")</f>
        <v/>
      </c>
      <c r="R91" t="s">
        <v>26</v>
      </c>
      <c r="S91" t="s">
        <v>8</v>
      </c>
      <c r="T91">
        <v>5</v>
      </c>
      <c r="U91" t="str">
        <f>IFERROR(IF(INDEX(Items[Selected Count], MATCH(Recipes[[#This Row],[Name]], Items[Name], 0)) &gt; 0, ROW() - ROW(Recipes[#Headers]), ""), "")</f>
        <v/>
      </c>
      <c r="V91" t="str">
        <f>IFERROR(SMALL(Recipes[Selected], ROW() - ROW(Recipes[#Headers])), "")</f>
        <v/>
      </c>
      <c r="W91" t="str">
        <f>IFERROR(INDEX(Recipes[Name], Recipes[[#This Row],[Selected Sorted]]), "")</f>
        <v/>
      </c>
      <c r="X91" t="str">
        <f>IFERROR(INDEX(Recipes[Component], Recipes[[#This Row],[Selected Sorted]]), "")</f>
        <v/>
      </c>
      <c r="Y91" s="1" t="str">
        <f>IFERROR(INDEX(Recipes[Quantity], Recipes[[#This Row],[Selected Sorted]]), "")</f>
        <v/>
      </c>
      <c r="AA91" t="s">
        <v>102</v>
      </c>
      <c r="AB91" t="s">
        <v>5</v>
      </c>
      <c r="AC91">
        <v>2</v>
      </c>
      <c r="AD91" s="1" t="str">
        <f>IFERROR(IF(INDEX(Items[Selected Count], MATCH(Recipes2[[#This Row],[Name]], Items[Name], 0)) &gt; 0, ROW() - ROW(Recipes2[#Headers]), ""), "")</f>
        <v/>
      </c>
      <c r="AE91" s="1" t="str">
        <f>IFERROR(SMALL(Recipes2[Selected], ROW() - ROW(Recipes2[#Headers])), "")</f>
        <v/>
      </c>
      <c r="AF91" s="1" t="str">
        <f>IFERROR(INDEX(Recipes2[Name], Recipes2[[#This Row],[Selected Sorted]]), "")</f>
        <v/>
      </c>
      <c r="AG91" s="1" t="str">
        <f>IFERROR(INDEX(Recipes2[Component], Recipes2[[#This Row],[Selected Sorted]]), "")</f>
        <v/>
      </c>
      <c r="AH91" s="1" t="str">
        <f>IFERROR(INDEX(Recipes2[Quantity], Recipes2[[#This Row],[Selected Sorted]]), "")</f>
        <v/>
      </c>
    </row>
    <row r="92" spans="1:34" x14ac:dyDescent="0.25">
      <c r="A92" t="s">
        <v>165</v>
      </c>
      <c r="B92">
        <v>0.5</v>
      </c>
      <c r="C92" s="1">
        <f>MAX(Items[[#This Row],[Base Cycle Time]] / Items[[#This Row],[Speed]], MinInsertionTime) / Items[[#This Row],[Quantity Per Cycle]] / Items[[#This Row],[Bonus]]</f>
        <v>0.4</v>
      </c>
      <c r="D92" s="39">
        <v>1</v>
      </c>
      <c r="E92" t="s">
        <v>59</v>
      </c>
      <c r="F92" s="38">
        <f>INDEX(CraftingTypes[Speed], MATCH(Items[[#This Row],[Producer Type]], CraftingTypes[Producer Type], 0))</f>
        <v>1.25</v>
      </c>
      <c r="G92" s="38">
        <f>INDEX(CraftingTypes[Bonus], MATCH(Items[[#This Row],[Producer Type]], CraftingTypes[Producer Type], 0)) + 1</f>
        <v>1</v>
      </c>
      <c r="H92" s="38">
        <f>1 / Items[[#This Row],[Cycle Time for One]]</f>
        <v>2.5</v>
      </c>
      <c r="I92" s="36" t="b">
        <f>IFERROR(OR(Items[[#This Row],[Name]] = SelectedName, INDEX(CraftingTypes[Include], MATCH(Items[[#This Row],[Producer Type]], CraftingTypes[Producer Type], 0))), FALSE)</f>
        <v>1</v>
      </c>
      <c r="J92" s="38">
        <f>IF(Items[[#This Row],[Name]] = SelectedName, 1, IF(NOT(Items[[#This Row],[Include]]), 0, SUMIFS(RecipeTotals.Quantity, RecipeTotals.Name, SelectedName, RecipeTotals.Component, Items[[#This Row],[Name]])))</f>
        <v>0</v>
      </c>
      <c r="K92" s="38">
        <f>IFERROR(Items[[#This Row],[Selected Count]] / CycleTime.Actual, "")</f>
        <v>0</v>
      </c>
      <c r="L92" s="38">
        <f>IFERROR(Items[[#This Row],[Selected Per Second]] / Items[[#This Row],[Per Second]], "")</f>
        <v>0</v>
      </c>
      <c r="M92" s="38">
        <f>IFERROR(Items[[#This Row],[Selected Per Second]] / Items[[#This Row],[Per Second]], "")</f>
        <v>0</v>
      </c>
      <c r="N92" s="38">
        <f>IFERROR(CEILING(Items[[#This Row],[Fractional Producers for Selected Count]], 1), 0)</f>
        <v>0</v>
      </c>
      <c r="O92" s="38" t="str">
        <f>IF(AND(Items[[#This Row],[Producers For Selected Count]] &gt; 0, Items[[#This Row],[Include]]), ROW() - ROW(Items[#Headers]), "")</f>
        <v/>
      </c>
      <c r="P92" s="38" t="str">
        <f>IFERROR(SMALL(Items[Include Row Index], ROW() - ROW(Items[#Headers])), "")</f>
        <v/>
      </c>
      <c r="R92" t="s">
        <v>26</v>
      </c>
      <c r="S92" t="s">
        <v>33</v>
      </c>
      <c r="T92">
        <v>2</v>
      </c>
      <c r="U92" t="str">
        <f>IFERROR(IF(INDEX(Items[Selected Count], MATCH(Recipes[[#This Row],[Name]], Items[Name], 0)) &gt; 0, ROW() - ROW(Recipes[#Headers]), ""), "")</f>
        <v/>
      </c>
      <c r="V92" t="str">
        <f>IFERROR(SMALL(Recipes[Selected], ROW() - ROW(Recipes[#Headers])), "")</f>
        <v/>
      </c>
      <c r="W92" t="str">
        <f>IFERROR(INDEX(Recipes[Name], Recipes[[#This Row],[Selected Sorted]]), "")</f>
        <v/>
      </c>
      <c r="X92" t="str">
        <f>IFERROR(INDEX(Recipes[Component], Recipes[[#This Row],[Selected Sorted]]), "")</f>
        <v/>
      </c>
      <c r="Y92" s="1" t="str">
        <f>IFERROR(INDEX(Recipes[Quantity], Recipes[[#This Row],[Selected Sorted]]), "")</f>
        <v/>
      </c>
      <c r="AA92" t="s">
        <v>66</v>
      </c>
      <c r="AB92" t="s">
        <v>5</v>
      </c>
      <c r="AC92">
        <v>10</v>
      </c>
      <c r="AD92" s="1" t="str">
        <f>IFERROR(IF(INDEX(Items[Selected Count], MATCH(Recipes2[[#This Row],[Name]], Items[Name], 0)) &gt; 0, ROW() - ROW(Recipes2[#Headers]), ""), "")</f>
        <v/>
      </c>
      <c r="AE92" s="1" t="str">
        <f>IFERROR(SMALL(Recipes2[Selected], ROW() - ROW(Recipes2[#Headers])), "")</f>
        <v/>
      </c>
      <c r="AF92" s="1" t="str">
        <f>IFERROR(INDEX(Recipes2[Name], Recipes2[[#This Row],[Selected Sorted]]), "")</f>
        <v/>
      </c>
      <c r="AG92" s="1" t="str">
        <f>IFERROR(INDEX(Recipes2[Component], Recipes2[[#This Row],[Selected Sorted]]), "")</f>
        <v/>
      </c>
      <c r="AH92" s="1" t="str">
        <f>IFERROR(INDEX(Recipes2[Quantity], Recipes2[[#This Row],[Selected Sorted]]), "")</f>
        <v/>
      </c>
    </row>
    <row r="93" spans="1:34" x14ac:dyDescent="0.25">
      <c r="A93" t="s">
        <v>206</v>
      </c>
      <c r="B93">
        <v>12</v>
      </c>
      <c r="C93" s="1">
        <f>MAX(Items[[#This Row],[Base Cycle Time]] / Items[[#This Row],[Speed]], MinInsertionTime) / Items[[#This Row],[Quantity Per Cycle]] / Items[[#This Row],[Bonus]]</f>
        <v>12</v>
      </c>
      <c r="D93" s="39">
        <v>1</v>
      </c>
      <c r="E93" t="s">
        <v>189</v>
      </c>
      <c r="F93" s="38">
        <f>INDEX(CraftingTypes[Speed], MATCH(Items[[#This Row],[Producer Type]], CraftingTypes[Producer Type], 0))</f>
        <v>1</v>
      </c>
      <c r="G93" s="38">
        <f>INDEX(CraftingTypes[Bonus], MATCH(Items[[#This Row],[Producer Type]], CraftingTypes[Producer Type], 0)) + 1</f>
        <v>1</v>
      </c>
      <c r="H93" s="38">
        <f>1 / Items[[#This Row],[Cycle Time for One]]</f>
        <v>8.3333333333333329E-2</v>
      </c>
      <c r="I93" s="36" t="b">
        <f>IFERROR(OR(Items[[#This Row],[Name]] = SelectedName, INDEX(CraftingTypes[Include], MATCH(Items[[#This Row],[Producer Type]], CraftingTypes[Producer Type], 0))), FALSE)</f>
        <v>1</v>
      </c>
      <c r="J93" s="38">
        <f>IF(Items[[#This Row],[Name]] = SelectedName, 1, IF(NOT(Items[[#This Row],[Include]]), 0, SUMIFS(RecipeTotals.Quantity, RecipeTotals.Name, SelectedName, RecipeTotals.Component, Items[[#This Row],[Name]])))</f>
        <v>0</v>
      </c>
      <c r="K93" s="38">
        <f>IFERROR(Items[[#This Row],[Selected Count]] / CycleTime.Actual, "")</f>
        <v>0</v>
      </c>
      <c r="L93" s="38">
        <f>IFERROR(Items[[#This Row],[Selected Per Second]] / Items[[#This Row],[Per Second]], "")</f>
        <v>0</v>
      </c>
      <c r="M93" s="38">
        <f>IFERROR(Items[[#This Row],[Selected Per Second]] / Items[[#This Row],[Per Second]], "")</f>
        <v>0</v>
      </c>
      <c r="N93" s="38">
        <f>IFERROR(CEILING(Items[[#This Row],[Fractional Producers for Selected Count]], 1), 0)</f>
        <v>0</v>
      </c>
      <c r="O93" s="38" t="str">
        <f>IF(AND(Items[[#This Row],[Producers For Selected Count]] &gt; 0, Items[[#This Row],[Include]]), ROW() - ROW(Items[#Headers]), "")</f>
        <v/>
      </c>
      <c r="P93" s="38" t="str">
        <f>IFERROR(SMALL(Items[Include Row Index], ROW() - ROW(Items[#Headers])), "")</f>
        <v/>
      </c>
      <c r="R93" t="s">
        <v>29</v>
      </c>
      <c r="S93" t="s">
        <v>28</v>
      </c>
      <c r="T93">
        <v>2</v>
      </c>
      <c r="U93" t="str">
        <f>IFERROR(IF(INDEX(Items[Selected Count], MATCH(Recipes[[#This Row],[Name]], Items[Name], 0)) &gt; 0, ROW() - ROW(Recipes[#Headers]), ""), "")</f>
        <v/>
      </c>
      <c r="V93" t="str">
        <f>IFERROR(SMALL(Recipes[Selected], ROW() - ROW(Recipes[#Headers])), "")</f>
        <v/>
      </c>
      <c r="W93" t="str">
        <f>IFERROR(INDEX(Recipes[Name], Recipes[[#This Row],[Selected Sorted]]), "")</f>
        <v/>
      </c>
      <c r="X93" t="str">
        <f>IFERROR(INDEX(Recipes[Component], Recipes[[#This Row],[Selected Sorted]]), "")</f>
        <v/>
      </c>
      <c r="Y93" s="1" t="str">
        <f>IFERROR(INDEX(Recipes[Quantity], Recipes[[#This Row],[Selected Sorted]]), "")</f>
        <v/>
      </c>
      <c r="AA93" t="s">
        <v>164</v>
      </c>
      <c r="AB93" t="s">
        <v>5</v>
      </c>
      <c r="AC93">
        <v>3</v>
      </c>
      <c r="AD93" s="1" t="str">
        <f>IFERROR(IF(INDEX(Items[Selected Count], MATCH(Recipes2[[#This Row],[Name]], Items[Name], 0)) &gt; 0, ROW() - ROW(Recipes2[#Headers]), ""), "")</f>
        <v/>
      </c>
      <c r="AE93" s="1" t="str">
        <f>IFERROR(SMALL(Recipes2[Selected], ROW() - ROW(Recipes2[#Headers])), "")</f>
        <v/>
      </c>
      <c r="AF93" s="1" t="str">
        <f>IFERROR(INDEX(Recipes2[Name], Recipes2[[#This Row],[Selected Sorted]]), "")</f>
        <v/>
      </c>
      <c r="AG93" s="1" t="str">
        <f>IFERROR(INDEX(Recipes2[Component], Recipes2[[#This Row],[Selected Sorted]]), "")</f>
        <v/>
      </c>
      <c r="AH93" s="1" t="str">
        <f>IFERROR(INDEX(Recipes2[Quantity], Recipes2[[#This Row],[Selected Sorted]]), "")</f>
        <v/>
      </c>
    </row>
    <row r="94" spans="1:34" x14ac:dyDescent="0.25">
      <c r="A94" t="s">
        <v>120</v>
      </c>
      <c r="B94">
        <v>15</v>
      </c>
      <c r="C94" s="1">
        <f>MAX(Items[[#This Row],[Base Cycle Time]] / Items[[#This Row],[Speed]], MinInsertionTime) / Items[[#This Row],[Quantity Per Cycle]] / Items[[#This Row],[Bonus]]</f>
        <v>12</v>
      </c>
      <c r="D94" s="39">
        <v>1</v>
      </c>
      <c r="E94" t="s">
        <v>59</v>
      </c>
      <c r="F94" s="38">
        <f>INDEX(CraftingTypes[Speed], MATCH(Items[[#This Row],[Producer Type]], CraftingTypes[Producer Type], 0))</f>
        <v>1.25</v>
      </c>
      <c r="G94" s="38">
        <f>INDEX(CraftingTypes[Bonus], MATCH(Items[[#This Row],[Producer Type]], CraftingTypes[Producer Type], 0)) + 1</f>
        <v>1</v>
      </c>
      <c r="H94" s="38">
        <f>1 / Items[[#This Row],[Cycle Time for One]]</f>
        <v>8.3333333333333329E-2</v>
      </c>
      <c r="I94" s="36" t="b">
        <f>IFERROR(OR(Items[[#This Row],[Name]] = SelectedName, INDEX(CraftingTypes[Include], MATCH(Items[[#This Row],[Producer Type]], CraftingTypes[Producer Type], 0))), FALSE)</f>
        <v>1</v>
      </c>
      <c r="J94" s="38">
        <f>IF(Items[[#This Row],[Name]] = SelectedName, 1, IF(NOT(Items[[#This Row],[Include]]), 0, SUMIFS(RecipeTotals.Quantity, RecipeTotals.Name, SelectedName, RecipeTotals.Component, Items[[#This Row],[Name]])))</f>
        <v>0</v>
      </c>
      <c r="K94" s="38">
        <f>IFERROR(Items[[#This Row],[Selected Count]] / CycleTime.Actual, "")</f>
        <v>0</v>
      </c>
      <c r="L94" s="38">
        <f>IFERROR(Items[[#This Row],[Selected Per Second]] / Items[[#This Row],[Per Second]], "")</f>
        <v>0</v>
      </c>
      <c r="M94" s="38">
        <f>IFERROR(Items[[#This Row],[Selected Per Second]] / Items[[#This Row],[Per Second]], "")</f>
        <v>0</v>
      </c>
      <c r="N94" s="38">
        <f>IFERROR(CEILING(Items[[#This Row],[Fractional Producers for Selected Count]], 1), 0)</f>
        <v>0</v>
      </c>
      <c r="O94" s="38" t="str">
        <f>IF(AND(Items[[#This Row],[Producers For Selected Count]] &gt; 0, Items[[#This Row],[Include]]), ROW() - ROW(Items[#Headers]), "")</f>
        <v/>
      </c>
      <c r="P94" s="38" t="str">
        <f>IFERROR(SMALL(Items[Include Row Index], ROW() - ROW(Items[#Headers])), "")</f>
        <v/>
      </c>
      <c r="R94" t="s">
        <v>29</v>
      </c>
      <c r="S94" t="s">
        <v>8</v>
      </c>
      <c r="T94">
        <v>40</v>
      </c>
      <c r="U94" t="str">
        <f>IFERROR(IF(INDEX(Items[Selected Count], MATCH(Recipes[[#This Row],[Name]], Items[Name], 0)) &gt; 0, ROW() - ROW(Recipes[#Headers]), ""), "")</f>
        <v/>
      </c>
      <c r="V94" t="str">
        <f>IFERROR(SMALL(Recipes[Selected], ROW() - ROW(Recipes[#Headers])), "")</f>
        <v/>
      </c>
      <c r="W94" t="str">
        <f>IFERROR(INDEX(Recipes[Name], Recipes[[#This Row],[Selected Sorted]]), "")</f>
        <v/>
      </c>
      <c r="X94" t="str">
        <f>IFERROR(INDEX(Recipes[Component], Recipes[[#This Row],[Selected Sorted]]), "")</f>
        <v/>
      </c>
      <c r="Y94" s="1" t="str">
        <f>IFERROR(INDEX(Recipes[Quantity], Recipes[[#This Row],[Selected Sorted]]), "")</f>
        <v/>
      </c>
      <c r="AA94" t="s">
        <v>125</v>
      </c>
      <c r="AB94" t="s">
        <v>5</v>
      </c>
      <c r="AC94">
        <v>3</v>
      </c>
      <c r="AD94" s="1" t="str">
        <f>IFERROR(IF(INDEX(Items[Selected Count], MATCH(Recipes2[[#This Row],[Name]], Items[Name], 0)) &gt; 0, ROW() - ROW(Recipes2[#Headers]), ""), "")</f>
        <v/>
      </c>
      <c r="AE94" s="1" t="str">
        <f>IFERROR(SMALL(Recipes2[Selected], ROW() - ROW(Recipes2[#Headers])), "")</f>
        <v/>
      </c>
      <c r="AF94" s="1" t="str">
        <f>IFERROR(INDEX(Recipes2[Name], Recipes2[[#This Row],[Selected Sorted]]), "")</f>
        <v/>
      </c>
      <c r="AG94" s="1" t="str">
        <f>IFERROR(INDEX(Recipes2[Component], Recipes2[[#This Row],[Selected Sorted]]), "")</f>
        <v/>
      </c>
      <c r="AH94" s="1" t="str">
        <f>IFERROR(INDEX(Recipes2[Quantity], Recipes2[[#This Row],[Selected Sorted]]), "")</f>
        <v/>
      </c>
    </row>
    <row r="95" spans="1:34" x14ac:dyDescent="0.25">
      <c r="A95" t="s">
        <v>127</v>
      </c>
      <c r="B95">
        <v>30</v>
      </c>
      <c r="C95" s="1">
        <f>MAX(Items[[#This Row],[Base Cycle Time]] / Items[[#This Row],[Speed]], MinInsertionTime) / Items[[#This Row],[Quantity Per Cycle]] / Items[[#This Row],[Bonus]]</f>
        <v>24</v>
      </c>
      <c r="D95" s="39">
        <v>1</v>
      </c>
      <c r="E95" t="s">
        <v>59</v>
      </c>
      <c r="F95" s="38">
        <f>INDEX(CraftingTypes[Speed], MATCH(Items[[#This Row],[Producer Type]], CraftingTypes[Producer Type], 0))</f>
        <v>1.25</v>
      </c>
      <c r="G95" s="38">
        <f>INDEX(CraftingTypes[Bonus], MATCH(Items[[#This Row],[Producer Type]], CraftingTypes[Producer Type], 0)) + 1</f>
        <v>1</v>
      </c>
      <c r="H95" s="38">
        <f>1 / Items[[#This Row],[Cycle Time for One]]</f>
        <v>4.1666666666666664E-2</v>
      </c>
      <c r="I95" s="36" t="b">
        <f>IFERROR(OR(Items[[#This Row],[Name]] = SelectedName, INDEX(CraftingTypes[Include], MATCH(Items[[#This Row],[Producer Type]], CraftingTypes[Producer Type], 0))), FALSE)</f>
        <v>1</v>
      </c>
      <c r="J95" s="38">
        <f>IF(Items[[#This Row],[Name]] = SelectedName, 1, IF(NOT(Items[[#This Row],[Include]]), 0, SUMIFS(RecipeTotals.Quantity, RecipeTotals.Name, SelectedName, RecipeTotals.Component, Items[[#This Row],[Name]])))</f>
        <v>0</v>
      </c>
      <c r="K95" s="38">
        <f>IFERROR(Items[[#This Row],[Selected Count]] / CycleTime.Actual, "")</f>
        <v>0</v>
      </c>
      <c r="L95" s="38">
        <f>IFERROR(Items[[#This Row],[Selected Per Second]] / Items[[#This Row],[Per Second]], "")</f>
        <v>0</v>
      </c>
      <c r="M95" s="38">
        <f>IFERROR(Items[[#This Row],[Selected Per Second]] / Items[[#This Row],[Per Second]], "")</f>
        <v>0</v>
      </c>
      <c r="N95" s="38">
        <f>IFERROR(CEILING(Items[[#This Row],[Fractional Producers for Selected Count]], 1), 0)</f>
        <v>0</v>
      </c>
      <c r="O95" s="38" t="str">
        <f>IF(AND(Items[[#This Row],[Producers For Selected Count]] &gt; 0, Items[[#This Row],[Include]]), ROW() - ROW(Items[#Headers]), "")</f>
        <v/>
      </c>
      <c r="P95" s="38" t="str">
        <f>IFERROR(SMALL(Items[Include Row Index], ROW() - ROW(Items[#Headers])), "")</f>
        <v/>
      </c>
      <c r="R95" t="s">
        <v>29</v>
      </c>
      <c r="S95" t="s">
        <v>33</v>
      </c>
      <c r="T95">
        <v>4</v>
      </c>
      <c r="U95" t="str">
        <f>IFERROR(IF(INDEX(Items[Selected Count], MATCH(Recipes[[#This Row],[Name]], Items[Name], 0)) &gt; 0, ROW() - ROW(Recipes[#Headers]), ""), "")</f>
        <v/>
      </c>
      <c r="V95" t="str">
        <f>IFERROR(SMALL(Recipes[Selected], ROW() - ROW(Recipes[#Headers])), "")</f>
        <v/>
      </c>
      <c r="W95" t="str">
        <f>IFERROR(INDEX(Recipes[Name], Recipes[[#This Row],[Selected Sorted]]), "")</f>
        <v/>
      </c>
      <c r="X95" t="str">
        <f>IFERROR(INDEX(Recipes[Component], Recipes[[#This Row],[Selected Sorted]]), "")</f>
        <v/>
      </c>
      <c r="Y95" s="1" t="str">
        <f>IFERROR(INDEX(Recipes[Quantity], Recipes[[#This Row],[Selected Sorted]]), "")</f>
        <v/>
      </c>
      <c r="AA95" t="s">
        <v>82</v>
      </c>
      <c r="AB95" t="s">
        <v>5</v>
      </c>
      <c r="AC95">
        <v>20</v>
      </c>
      <c r="AD95" s="1" t="str">
        <f>IFERROR(IF(INDEX(Items[Selected Count], MATCH(Recipes2[[#This Row],[Name]], Items[Name], 0)) &gt; 0, ROW() - ROW(Recipes2[#Headers]), ""), "")</f>
        <v/>
      </c>
      <c r="AE95" s="1" t="str">
        <f>IFERROR(SMALL(Recipes2[Selected], ROW() - ROW(Recipes2[#Headers])), "")</f>
        <v/>
      </c>
      <c r="AF95" s="1" t="str">
        <f>IFERROR(INDEX(Recipes2[Name], Recipes2[[#This Row],[Selected Sorted]]), "")</f>
        <v/>
      </c>
      <c r="AG95" s="1" t="str">
        <f>IFERROR(INDEX(Recipes2[Component], Recipes2[[#This Row],[Selected Sorted]]), "")</f>
        <v/>
      </c>
      <c r="AH95" s="1" t="str">
        <f>IFERROR(INDEX(Recipes2[Quantity], Recipes2[[#This Row],[Selected Sorted]]), "")</f>
        <v/>
      </c>
    </row>
    <row r="96" spans="1:34" x14ac:dyDescent="0.25">
      <c r="A96" t="s">
        <v>130</v>
      </c>
      <c r="B96">
        <v>30</v>
      </c>
      <c r="C96" s="1">
        <f>MAX(Items[[#This Row],[Base Cycle Time]] / Items[[#This Row],[Speed]], MinInsertionTime) / Items[[#This Row],[Quantity Per Cycle]] / Items[[#This Row],[Bonus]]</f>
        <v>24</v>
      </c>
      <c r="D96" s="39">
        <v>1</v>
      </c>
      <c r="E96" t="s">
        <v>59</v>
      </c>
      <c r="F96" s="38">
        <f>INDEX(CraftingTypes[Speed], MATCH(Items[[#This Row],[Producer Type]], CraftingTypes[Producer Type], 0))</f>
        <v>1.25</v>
      </c>
      <c r="G96" s="38">
        <f>INDEX(CraftingTypes[Bonus], MATCH(Items[[#This Row],[Producer Type]], CraftingTypes[Producer Type], 0)) + 1</f>
        <v>1</v>
      </c>
      <c r="H96" s="38">
        <f>1 / Items[[#This Row],[Cycle Time for One]]</f>
        <v>4.1666666666666664E-2</v>
      </c>
      <c r="I96" s="36" t="b">
        <f>IFERROR(OR(Items[[#This Row],[Name]] = SelectedName, INDEX(CraftingTypes[Include], MATCH(Items[[#This Row],[Producer Type]], CraftingTypes[Producer Type], 0))), FALSE)</f>
        <v>1</v>
      </c>
      <c r="J96" s="38">
        <f>IF(Items[[#This Row],[Name]] = SelectedName, 1, IF(NOT(Items[[#This Row],[Include]]), 0, SUMIFS(RecipeTotals.Quantity, RecipeTotals.Name, SelectedName, RecipeTotals.Component, Items[[#This Row],[Name]])))</f>
        <v>0</v>
      </c>
      <c r="K96" s="38">
        <f>IFERROR(Items[[#This Row],[Selected Count]] / CycleTime.Actual, "")</f>
        <v>0</v>
      </c>
      <c r="L96" s="38">
        <f>IFERROR(Items[[#This Row],[Selected Per Second]] / Items[[#This Row],[Per Second]], "")</f>
        <v>0</v>
      </c>
      <c r="M96" s="38">
        <f>IFERROR(Items[[#This Row],[Selected Per Second]] / Items[[#This Row],[Per Second]], "")</f>
        <v>0</v>
      </c>
      <c r="N96" s="38">
        <f>IFERROR(CEILING(Items[[#This Row],[Fractional Producers for Selected Count]], 1), 0)</f>
        <v>0</v>
      </c>
      <c r="O96" s="38" t="str">
        <f>IF(AND(Items[[#This Row],[Producers For Selected Count]] &gt; 0, Items[[#This Row],[Include]]), ROW() - ROW(Items[#Headers]), "")</f>
        <v/>
      </c>
      <c r="P96" s="38" t="str">
        <f>IFERROR(SMALL(Items[Include Row Index], ROW() - ROW(Items[#Headers])), "")</f>
        <v/>
      </c>
      <c r="R96" t="s">
        <v>44</v>
      </c>
      <c r="S96" t="s">
        <v>5</v>
      </c>
      <c r="T96">
        <v>2</v>
      </c>
      <c r="U96" t="str">
        <f>IFERROR(IF(INDEX(Items[Selected Count], MATCH(Recipes[[#This Row],[Name]], Items[Name], 0)) &gt; 0, ROW() - ROW(Recipes[#Headers]), ""), "")</f>
        <v/>
      </c>
      <c r="V96" t="str">
        <f>IFERROR(SMALL(Recipes[Selected], ROW() - ROW(Recipes[#Headers])), "")</f>
        <v/>
      </c>
      <c r="W96" t="str">
        <f>IFERROR(INDEX(Recipes[Name], Recipes[[#This Row],[Selected Sorted]]), "")</f>
        <v/>
      </c>
      <c r="X96" t="str">
        <f>IFERROR(INDEX(Recipes[Component], Recipes[[#This Row],[Selected Sorted]]), "")</f>
        <v/>
      </c>
      <c r="Y96" s="1" t="str">
        <f>IFERROR(INDEX(Recipes[Quantity], Recipes[[#This Row],[Selected Sorted]]), "")</f>
        <v/>
      </c>
      <c r="AA96" t="s">
        <v>117</v>
      </c>
      <c r="AB96" t="s">
        <v>5</v>
      </c>
      <c r="AC96">
        <v>5</v>
      </c>
      <c r="AD96" s="1" t="str">
        <f>IFERROR(IF(INDEX(Items[Selected Count], MATCH(Recipes2[[#This Row],[Name]], Items[Name], 0)) &gt; 0, ROW() - ROW(Recipes2[#Headers]), ""), "")</f>
        <v/>
      </c>
      <c r="AE96" s="1" t="str">
        <f>IFERROR(SMALL(Recipes2[Selected], ROW() - ROW(Recipes2[#Headers])), "")</f>
        <v/>
      </c>
      <c r="AF96" s="1" t="str">
        <f>IFERROR(INDEX(Recipes2[Name], Recipes2[[#This Row],[Selected Sorted]]), "")</f>
        <v/>
      </c>
      <c r="AG96" s="1" t="str">
        <f>IFERROR(INDEX(Recipes2[Component], Recipes2[[#This Row],[Selected Sorted]]), "")</f>
        <v/>
      </c>
      <c r="AH96" s="1" t="str">
        <f>IFERROR(INDEX(Recipes2[Quantity], Recipes2[[#This Row],[Selected Sorted]]), "")</f>
        <v/>
      </c>
    </row>
    <row r="97" spans="1:34" x14ac:dyDescent="0.25">
      <c r="A97" t="s">
        <v>137</v>
      </c>
      <c r="B97">
        <v>300</v>
      </c>
      <c r="C97" s="1">
        <f>MAX(Items[[#This Row],[Base Cycle Time]] / Items[[#This Row],[Speed]], MinInsertionTime) / Items[[#This Row],[Quantity Per Cycle]] / Items[[#This Row],[Bonus]]</f>
        <v>300</v>
      </c>
      <c r="D97" s="39">
        <v>1</v>
      </c>
      <c r="E97" t="s">
        <v>189</v>
      </c>
      <c r="F97" s="38">
        <f>INDEX(CraftingTypes[Speed], MATCH(Items[[#This Row],[Producer Type]], CraftingTypes[Producer Type], 0))</f>
        <v>1</v>
      </c>
      <c r="G97" s="38">
        <f>INDEX(CraftingTypes[Bonus], MATCH(Items[[#This Row],[Producer Type]], CraftingTypes[Producer Type], 0)) + 1</f>
        <v>1</v>
      </c>
      <c r="H97" s="38">
        <f>1 / Items[[#This Row],[Cycle Time for One]]</f>
        <v>3.3333333333333335E-3</v>
      </c>
      <c r="I97" s="36" t="b">
        <f>IFERROR(OR(Items[[#This Row],[Name]] = SelectedName, INDEX(CraftingTypes[Include], MATCH(Items[[#This Row],[Producer Type]], CraftingTypes[Producer Type], 0))), FALSE)</f>
        <v>1</v>
      </c>
      <c r="J97" s="38">
        <f>IF(Items[[#This Row],[Name]] = SelectedName, 1, IF(NOT(Items[[#This Row],[Include]]), 0, SUMIFS(RecipeTotals.Quantity, RecipeTotals.Name, SelectedName, RecipeTotals.Component, Items[[#This Row],[Name]])))</f>
        <v>0</v>
      </c>
      <c r="K97" s="38">
        <f>IFERROR(Items[[#This Row],[Selected Count]] / CycleTime.Actual, "")</f>
        <v>0</v>
      </c>
      <c r="L97" s="38">
        <f>IFERROR(Items[[#This Row],[Selected Per Second]] / Items[[#This Row],[Per Second]], "")</f>
        <v>0</v>
      </c>
      <c r="M97" s="38">
        <f>IFERROR(Items[[#This Row],[Selected Per Second]] / Items[[#This Row],[Per Second]], "")</f>
        <v>0</v>
      </c>
      <c r="N97" s="38">
        <f>IFERROR(CEILING(Items[[#This Row],[Fractional Producers for Selected Count]], 1), 0)</f>
        <v>0</v>
      </c>
      <c r="O97" s="38" t="str">
        <f>IF(AND(Items[[#This Row],[Producers For Selected Count]] &gt; 0, Items[[#This Row],[Include]]), ROW() - ROW(Items[#Headers]), "")</f>
        <v/>
      </c>
      <c r="P97" s="38" t="str">
        <f>IFERROR(SMALL(Items[Include Row Index], ROW() - ROW(Items[#Headers])), "")</f>
        <v/>
      </c>
      <c r="R97" t="s">
        <v>44</v>
      </c>
      <c r="S97" t="s">
        <v>42</v>
      </c>
      <c r="T97">
        <v>1</v>
      </c>
      <c r="U97" t="str">
        <f>IFERROR(IF(INDEX(Items[Selected Count], MATCH(Recipes[[#This Row],[Name]], Items[Name], 0)) &gt; 0, ROW() - ROW(Recipes[#Headers]), ""), "")</f>
        <v/>
      </c>
      <c r="V97" t="str">
        <f>IFERROR(SMALL(Recipes[Selected], ROW() - ROW(Recipes[#Headers])), "")</f>
        <v/>
      </c>
      <c r="W97" t="str">
        <f>IFERROR(INDEX(Recipes[Name], Recipes[[#This Row],[Selected Sorted]]), "")</f>
        <v/>
      </c>
      <c r="X97" t="str">
        <f>IFERROR(INDEX(Recipes[Component], Recipes[[#This Row],[Selected Sorted]]), "")</f>
        <v/>
      </c>
      <c r="Y97" s="1" t="str">
        <f>IFERROR(INDEX(Recipes[Quantity], Recipes[[#This Row],[Selected Sorted]]), "")</f>
        <v/>
      </c>
      <c r="AA97" t="s">
        <v>79</v>
      </c>
      <c r="AB97" t="s">
        <v>5</v>
      </c>
      <c r="AC97">
        <v>5</v>
      </c>
      <c r="AD97" s="1" t="str">
        <f>IFERROR(IF(INDEX(Items[Selected Count], MATCH(Recipes2[[#This Row],[Name]], Items[Name], 0)) &gt; 0, ROW() - ROW(Recipes2[#Headers]), ""), "")</f>
        <v/>
      </c>
      <c r="AE97" s="1" t="str">
        <f>IFERROR(SMALL(Recipes2[Selected], ROW() - ROW(Recipes2[#Headers])), "")</f>
        <v/>
      </c>
      <c r="AF97" s="1" t="str">
        <f>IFERROR(INDEX(Recipes2[Name], Recipes2[[#This Row],[Selected Sorted]]), "")</f>
        <v/>
      </c>
      <c r="AG97" s="1" t="str">
        <f>IFERROR(INDEX(Recipes2[Component], Recipes2[[#This Row],[Selected Sorted]]), "")</f>
        <v/>
      </c>
      <c r="AH97" s="1" t="str">
        <f>IFERROR(INDEX(Recipes2[Quantity], Recipes2[[#This Row],[Selected Sorted]]), "")</f>
        <v/>
      </c>
    </row>
    <row r="98" spans="1:34" x14ac:dyDescent="0.25">
      <c r="A98" t="s">
        <v>203</v>
      </c>
      <c r="B98">
        <v>300</v>
      </c>
      <c r="C98" s="1">
        <f>MAX(Items[[#This Row],[Base Cycle Time]] / Items[[#This Row],[Speed]], MinInsertionTime) / Items[[#This Row],[Quantity Per Cycle]] / Items[[#This Row],[Bonus]]</f>
        <v>300</v>
      </c>
      <c r="D98" s="39">
        <v>1</v>
      </c>
      <c r="E98" t="s">
        <v>189</v>
      </c>
      <c r="F98" s="38">
        <f>INDEX(CraftingTypes[Speed], MATCH(Items[[#This Row],[Producer Type]], CraftingTypes[Producer Type], 0))</f>
        <v>1</v>
      </c>
      <c r="G98" s="38">
        <f>INDEX(CraftingTypes[Bonus], MATCH(Items[[#This Row],[Producer Type]], CraftingTypes[Producer Type], 0)) + 1</f>
        <v>1</v>
      </c>
      <c r="H98" s="38">
        <f>1 / Items[[#This Row],[Cycle Time for One]]</f>
        <v>3.3333333333333335E-3</v>
      </c>
      <c r="I98" s="36" t="b">
        <f>IFERROR(OR(Items[[#This Row],[Name]] = SelectedName, INDEX(CraftingTypes[Include], MATCH(Items[[#This Row],[Producer Type]], CraftingTypes[Producer Type], 0))), FALSE)</f>
        <v>1</v>
      </c>
      <c r="J98" s="38">
        <f>IF(Items[[#This Row],[Name]] = SelectedName, 1, IF(NOT(Items[[#This Row],[Include]]), 0, SUMIFS(RecipeTotals.Quantity, RecipeTotals.Name, SelectedName, RecipeTotals.Component, Items[[#This Row],[Name]])))</f>
        <v>0</v>
      </c>
      <c r="K98" s="38">
        <f>IFERROR(Items[[#This Row],[Selected Count]] / CycleTime.Actual, "")</f>
        <v>0</v>
      </c>
      <c r="L98" s="38">
        <f>IFERROR(Items[[#This Row],[Selected Per Second]] / Items[[#This Row],[Per Second]], "")</f>
        <v>0</v>
      </c>
      <c r="M98" s="38">
        <f>IFERROR(Items[[#This Row],[Selected Per Second]] / Items[[#This Row],[Per Second]], "")</f>
        <v>0</v>
      </c>
      <c r="N98" s="38">
        <f>IFERROR(CEILING(Items[[#This Row],[Fractional Producers for Selected Count]], 1), 0)</f>
        <v>0</v>
      </c>
      <c r="O98" s="38" t="str">
        <f>IF(AND(Items[[#This Row],[Producers For Selected Count]] &gt; 0, Items[[#This Row],[Include]]), ROW() - ROW(Items[#Headers]), "")</f>
        <v/>
      </c>
      <c r="P98" s="38" t="str">
        <f>IFERROR(SMALL(Items[Include Row Index], ROW() - ROW(Items[#Headers])), "")</f>
        <v/>
      </c>
      <c r="R98" t="s">
        <v>44</v>
      </c>
      <c r="S98" t="s">
        <v>2</v>
      </c>
      <c r="T98">
        <v>2</v>
      </c>
      <c r="U98" t="str">
        <f>IFERROR(IF(INDEX(Items[Selected Count], MATCH(Recipes[[#This Row],[Name]], Items[Name], 0)) &gt; 0, ROW() - ROW(Recipes[#Headers]), ""), "")</f>
        <v/>
      </c>
      <c r="V98" t="str">
        <f>IFERROR(SMALL(Recipes[Selected], ROW() - ROW(Recipes[#Headers])), "")</f>
        <v/>
      </c>
      <c r="W98" t="str">
        <f>IFERROR(INDEX(Recipes[Name], Recipes[[#This Row],[Selected Sorted]]), "")</f>
        <v/>
      </c>
      <c r="X98" t="str">
        <f>IFERROR(INDEX(Recipes[Component], Recipes[[#This Row],[Selected Sorted]]), "")</f>
        <v/>
      </c>
      <c r="Y98" s="1" t="str">
        <f>IFERROR(INDEX(Recipes[Quantity], Recipes[[#This Row],[Selected Sorted]]), "")</f>
        <v/>
      </c>
      <c r="AA98" t="s">
        <v>69</v>
      </c>
      <c r="AB98" t="s">
        <v>5</v>
      </c>
      <c r="AC98">
        <v>5</v>
      </c>
      <c r="AD98" t="str">
        <f>IFERROR(IF(INDEX(Items[Selected Count], MATCH(Recipes2[[#This Row],[Name]], Items[Name], 0)) &gt; 0, ROW() - ROW(Recipes2[#Headers]), ""), "")</f>
        <v/>
      </c>
      <c r="AE98" t="str">
        <f>IFERROR(SMALL(Recipes2[Selected], ROW() - ROW(Recipes2[#Headers])), "")</f>
        <v/>
      </c>
      <c r="AF98" t="str">
        <f>IFERROR(INDEX(Recipes2[Name], Recipes2[[#This Row],[Selected Sorted]]), "")</f>
        <v/>
      </c>
      <c r="AG98" t="str">
        <f>IFERROR(INDEX(Recipes2[Component], Recipes2[[#This Row],[Selected Sorted]]), "")</f>
        <v/>
      </c>
      <c r="AH98" s="1" t="str">
        <f>IFERROR(INDEX(Recipes2[Quantity], Recipes2[[#This Row],[Selected Sorted]]), "")</f>
        <v/>
      </c>
    </row>
    <row r="99" spans="1:34" x14ac:dyDescent="0.25">
      <c r="A99" t="s">
        <v>128</v>
      </c>
      <c r="B99">
        <v>3</v>
      </c>
      <c r="C99" s="1">
        <f>MAX(Items[[#This Row],[Base Cycle Time]] / Items[[#This Row],[Speed]], MinInsertionTime) / Items[[#This Row],[Quantity Per Cycle]] / Items[[#This Row],[Bonus]]</f>
        <v>2.4</v>
      </c>
      <c r="D99" s="39">
        <v>1</v>
      </c>
      <c r="E99" t="s">
        <v>59</v>
      </c>
      <c r="F99" s="38">
        <f>INDEX(CraftingTypes[Speed], MATCH(Items[[#This Row],[Producer Type]], CraftingTypes[Producer Type], 0))</f>
        <v>1.25</v>
      </c>
      <c r="G99" s="38">
        <f>INDEX(CraftingTypes[Bonus], MATCH(Items[[#This Row],[Producer Type]], CraftingTypes[Producer Type], 0)) + 1</f>
        <v>1</v>
      </c>
      <c r="H99" s="38">
        <f>1 / Items[[#This Row],[Cycle Time for One]]</f>
        <v>0.41666666666666669</v>
      </c>
      <c r="I99" s="36" t="b">
        <f>IFERROR(OR(Items[[#This Row],[Name]] = SelectedName, INDEX(CraftingTypes[Include], MATCH(Items[[#This Row],[Producer Type]], CraftingTypes[Producer Type], 0))), FALSE)</f>
        <v>1</v>
      </c>
      <c r="J99" s="38">
        <f>IF(Items[[#This Row],[Name]] = SelectedName, 1, IF(NOT(Items[[#This Row],[Include]]), 0, SUMIFS(RecipeTotals.Quantity, RecipeTotals.Name, SelectedName, RecipeTotals.Component, Items[[#This Row],[Name]])))</f>
        <v>0</v>
      </c>
      <c r="K99" s="38">
        <f>IFERROR(Items[[#This Row],[Selected Count]] / CycleTime.Actual, "")</f>
        <v>0</v>
      </c>
      <c r="L99" s="38">
        <f>IFERROR(Items[[#This Row],[Selected Per Second]] / Items[[#This Row],[Per Second]], "")</f>
        <v>0</v>
      </c>
      <c r="M99" s="38">
        <f>IFERROR(Items[[#This Row],[Selected Per Second]] / Items[[#This Row],[Per Second]], "")</f>
        <v>0</v>
      </c>
      <c r="N99" s="38">
        <f>IFERROR(CEILING(Items[[#This Row],[Fractional Producers for Selected Count]], 1), 0)</f>
        <v>0</v>
      </c>
      <c r="O99" s="38" t="str">
        <f>IF(AND(Items[[#This Row],[Producers For Selected Count]] &gt; 0, Items[[#This Row],[Include]]), ROW() - ROW(Items[#Headers]), "")</f>
        <v/>
      </c>
      <c r="P99" s="38" t="str">
        <f>IFERROR(SMALL(Items[Include Row Index], ROW() - ROW(Items[#Headers])), "")</f>
        <v/>
      </c>
      <c r="R99" t="s">
        <v>31</v>
      </c>
      <c r="S99" t="s">
        <v>5</v>
      </c>
      <c r="T99">
        <v>10</v>
      </c>
      <c r="U99" t="str">
        <f>IFERROR(IF(INDEX(Items[Selected Count], MATCH(Recipes[[#This Row],[Name]], Items[Name], 0)) &gt; 0, ROW() - ROW(Recipes[#Headers]), ""), "")</f>
        <v/>
      </c>
      <c r="V99" t="str">
        <f>IFERROR(SMALL(Recipes[Selected], ROW() - ROW(Recipes[#Headers])), "")</f>
        <v/>
      </c>
      <c r="W99" t="str">
        <f>IFERROR(INDEX(Recipes[Name], Recipes[[#This Row],[Selected Sorted]]), "")</f>
        <v/>
      </c>
      <c r="X99" t="str">
        <f>IFERROR(INDEX(Recipes[Component], Recipes[[#This Row],[Selected Sorted]]), "")</f>
        <v/>
      </c>
      <c r="Y99" s="1" t="str">
        <f>IFERROR(INDEX(Recipes[Quantity], Recipes[[#This Row],[Selected Sorted]]), "")</f>
        <v/>
      </c>
      <c r="AA99" t="s">
        <v>157</v>
      </c>
      <c r="AB99" t="s">
        <v>5</v>
      </c>
      <c r="AC99">
        <v>1</v>
      </c>
      <c r="AD99" s="1" t="str">
        <f>IFERROR(IF(INDEX(Items[Selected Count], MATCH(Recipes2[[#This Row],[Name]], Items[Name], 0)) &gt; 0, ROW() - ROW(Recipes2[#Headers]), ""), "")</f>
        <v/>
      </c>
      <c r="AE99" s="1" t="str">
        <f>IFERROR(SMALL(Recipes2[Selected], ROW() - ROW(Recipes2[#Headers])), "")</f>
        <v/>
      </c>
      <c r="AF99" s="1" t="str">
        <f>IFERROR(INDEX(Recipes2[Name], Recipes2[[#This Row],[Selected Sorted]]), "")</f>
        <v/>
      </c>
      <c r="AG99" s="1" t="str">
        <f>IFERROR(INDEX(Recipes2[Component], Recipes2[[#This Row],[Selected Sorted]]), "")</f>
        <v/>
      </c>
      <c r="AH99" s="1" t="str">
        <f>IFERROR(INDEX(Recipes2[Quantity], Recipes2[[#This Row],[Selected Sorted]]), "")</f>
        <v/>
      </c>
    </row>
    <row r="100" spans="1:34" x14ac:dyDescent="0.25">
      <c r="A100" t="s">
        <v>48</v>
      </c>
      <c r="B100">
        <v>5</v>
      </c>
      <c r="C100">
        <f>MAX(Items[[#This Row],[Base Cycle Time]] / Items[[#This Row],[Speed]], MinInsertionTime) / Items[[#This Row],[Quantity Per Cycle]] / Items[[#This Row],[Bonus]]</f>
        <v>4</v>
      </c>
      <c r="D100" s="39">
        <v>1</v>
      </c>
      <c r="E100" t="s">
        <v>59</v>
      </c>
      <c r="F100" s="39">
        <f>INDEX(CraftingTypes[Speed], MATCH(Items[[#This Row],[Producer Type]], CraftingTypes[Producer Type], 0))</f>
        <v>1.25</v>
      </c>
      <c r="G100" s="39">
        <f>INDEX(CraftingTypes[Bonus], MATCH(Items[[#This Row],[Producer Type]], CraftingTypes[Producer Type], 0)) + 1</f>
        <v>1</v>
      </c>
      <c r="H100" s="38">
        <f>1 / Items[[#This Row],[Cycle Time for One]]</f>
        <v>0.25</v>
      </c>
      <c r="I100" s="36" t="b">
        <f>IFERROR(OR(Items[[#This Row],[Name]] = SelectedName, INDEX(CraftingTypes[Include], MATCH(Items[[#This Row],[Producer Type]], CraftingTypes[Producer Type], 0))), FALSE)</f>
        <v>1</v>
      </c>
      <c r="J100" s="38">
        <f>IF(Items[[#This Row],[Name]] = SelectedName, 1, IF(NOT(Items[[#This Row],[Include]]), 0, SUMIFS(RecipeTotals.Quantity, RecipeTotals.Name, SelectedName, RecipeTotals.Component, Items[[#This Row],[Name]])))</f>
        <v>0</v>
      </c>
      <c r="K100" s="38">
        <f>IFERROR(Items[[#This Row],[Selected Count]] / CycleTime.Actual, "")</f>
        <v>0</v>
      </c>
      <c r="L100" s="38">
        <f>IFERROR(Items[[#This Row],[Selected Per Second]] / Items[[#This Row],[Per Second]], "")</f>
        <v>0</v>
      </c>
      <c r="M100" s="38">
        <f>IFERROR(Items[[#This Row],[Selected Per Second]] / Items[[#This Row],[Per Second]], "")</f>
        <v>0</v>
      </c>
      <c r="N100" s="38">
        <f>IFERROR(CEILING(Items[[#This Row],[Fractional Producers for Selected Count]], 1), 0)</f>
        <v>0</v>
      </c>
      <c r="O100" s="38" t="str">
        <f>IF(AND(Items[[#This Row],[Producers For Selected Count]] &gt; 0, Items[[#This Row],[Include]]), ROW() - ROW(Items[#Headers]), "")</f>
        <v/>
      </c>
      <c r="P100" s="38" t="str">
        <f>IFERROR(SMALL(Items[Include Row Index], ROW() - ROW(Items[#Headers])), "")</f>
        <v/>
      </c>
      <c r="R100" t="s">
        <v>31</v>
      </c>
      <c r="S100" t="s">
        <v>8</v>
      </c>
      <c r="T100">
        <v>10</v>
      </c>
      <c r="U100" t="str">
        <f>IFERROR(IF(INDEX(Items[Selected Count], MATCH(Recipes[[#This Row],[Name]], Items[Name], 0)) &gt; 0, ROW() - ROW(Recipes[#Headers]), ""), "")</f>
        <v/>
      </c>
      <c r="V100" t="str">
        <f>IFERROR(SMALL(Recipes[Selected], ROW() - ROW(Recipes[#Headers])), "")</f>
        <v/>
      </c>
      <c r="W100" t="str">
        <f>IFERROR(INDEX(Recipes[Name], Recipes[[#This Row],[Selected Sorted]]), "")</f>
        <v/>
      </c>
      <c r="X100" t="str">
        <f>IFERROR(INDEX(Recipes[Component], Recipes[[#This Row],[Selected Sorted]]), "")</f>
        <v/>
      </c>
      <c r="Y100" s="1" t="str">
        <f>IFERROR(INDEX(Recipes[Quantity], Recipes[[#This Row],[Selected Sorted]]), "")</f>
        <v/>
      </c>
      <c r="AA100" t="s">
        <v>156</v>
      </c>
      <c r="AB100" t="s">
        <v>5</v>
      </c>
      <c r="AC100">
        <v>1</v>
      </c>
      <c r="AD100" s="1" t="str">
        <f>IFERROR(IF(INDEX(Items[Selected Count], MATCH(Recipes2[[#This Row],[Name]], Items[Name], 0)) &gt; 0, ROW() - ROW(Recipes2[#Headers]), ""), "")</f>
        <v/>
      </c>
      <c r="AE100" s="1" t="str">
        <f>IFERROR(SMALL(Recipes2[Selected], ROW() - ROW(Recipes2[#Headers])), "")</f>
        <v/>
      </c>
      <c r="AF100" s="1" t="str">
        <f>IFERROR(INDEX(Recipes2[Name], Recipes2[[#This Row],[Selected Sorted]]), "")</f>
        <v/>
      </c>
      <c r="AG100" s="1" t="str">
        <f>IFERROR(INDEX(Recipes2[Component], Recipes2[[#This Row],[Selected Sorted]]), "")</f>
        <v/>
      </c>
      <c r="AH100" s="1" t="str">
        <f>IFERROR(INDEX(Recipes2[Quantity], Recipes2[[#This Row],[Selected Sorted]]), "")</f>
        <v/>
      </c>
    </row>
    <row r="101" spans="1:34" x14ac:dyDescent="0.25">
      <c r="A101" t="s">
        <v>49</v>
      </c>
      <c r="B101">
        <v>6</v>
      </c>
      <c r="C101">
        <f>MAX(Items[[#This Row],[Base Cycle Time]] / Items[[#This Row],[Speed]], MinInsertionTime) / Items[[#This Row],[Quantity Per Cycle]] / Items[[#This Row],[Bonus]]</f>
        <v>4.8</v>
      </c>
      <c r="D101" s="39">
        <v>1</v>
      </c>
      <c r="E101" t="s">
        <v>59</v>
      </c>
      <c r="F101" s="39">
        <f>INDEX(CraftingTypes[Speed], MATCH(Items[[#This Row],[Producer Type]], CraftingTypes[Producer Type], 0))</f>
        <v>1.25</v>
      </c>
      <c r="G101" s="39">
        <f>INDEX(CraftingTypes[Bonus], MATCH(Items[[#This Row],[Producer Type]], CraftingTypes[Producer Type], 0)) + 1</f>
        <v>1</v>
      </c>
      <c r="H101" s="38">
        <f>1 / Items[[#This Row],[Cycle Time for One]]</f>
        <v>0.20833333333333334</v>
      </c>
      <c r="I101" s="36" t="b">
        <f>IFERROR(OR(Items[[#This Row],[Name]] = SelectedName, INDEX(CraftingTypes[Include], MATCH(Items[[#This Row],[Producer Type]], CraftingTypes[Producer Type], 0))), FALSE)</f>
        <v>1</v>
      </c>
      <c r="J101" s="38">
        <f>IF(Items[[#This Row],[Name]] = SelectedName, 1, IF(NOT(Items[[#This Row],[Include]]), 0, SUMIFS(RecipeTotals.Quantity, RecipeTotals.Name, SelectedName, RecipeTotals.Component, Items[[#This Row],[Name]])))</f>
        <v>0</v>
      </c>
      <c r="K101" s="38">
        <f>IFERROR(Items[[#This Row],[Selected Count]] / CycleTime.Actual, "")</f>
        <v>0</v>
      </c>
      <c r="L101" s="38">
        <f>IFERROR(Items[[#This Row],[Selected Per Second]] / Items[[#This Row],[Per Second]], "")</f>
        <v>0</v>
      </c>
      <c r="M101" s="38">
        <f>IFERROR(Items[[#This Row],[Selected Per Second]] / Items[[#This Row],[Per Second]], "")</f>
        <v>0</v>
      </c>
      <c r="N101" s="38">
        <f>IFERROR(CEILING(Items[[#This Row],[Fractional Producers for Selected Count]], 1), 0)</f>
        <v>0</v>
      </c>
      <c r="O101" s="38" t="str">
        <f>IF(AND(Items[[#This Row],[Producers For Selected Count]] &gt; 0, Items[[#This Row],[Include]]), ROW() - ROW(Items[#Headers]), "")</f>
        <v/>
      </c>
      <c r="P101" s="38" t="str">
        <f>IFERROR(SMALL(Items[Include Row Index], ROW() - ROW(Items[#Headers])), "")</f>
        <v/>
      </c>
      <c r="R101" t="s">
        <v>31</v>
      </c>
      <c r="S101" t="s">
        <v>30</v>
      </c>
      <c r="T101">
        <v>1</v>
      </c>
      <c r="U101" t="str">
        <f>IFERROR(IF(INDEX(Items[Selected Count], MATCH(Recipes[[#This Row],[Name]], Items[Name], 0)) &gt; 0, ROW() - ROW(Recipes[#Headers]), ""), "")</f>
        <v/>
      </c>
      <c r="V101" t="str">
        <f>IFERROR(SMALL(Recipes[Selected], ROW() - ROW(Recipes[#Headers])), "")</f>
        <v/>
      </c>
      <c r="W101" t="str">
        <f>IFERROR(INDEX(Recipes[Name], Recipes[[#This Row],[Selected Sorted]]), "")</f>
        <v/>
      </c>
      <c r="X101" t="str">
        <f>IFERROR(INDEX(Recipes[Component], Recipes[[#This Row],[Selected Sorted]]), "")</f>
        <v/>
      </c>
      <c r="Y101" s="1" t="str">
        <f>IFERROR(INDEX(Recipes[Quantity], Recipes[[#This Row],[Selected Sorted]]), "")</f>
        <v/>
      </c>
      <c r="AA101" t="s">
        <v>142</v>
      </c>
      <c r="AB101" t="s">
        <v>5</v>
      </c>
      <c r="AC101">
        <v>2</v>
      </c>
      <c r="AD101" s="1" t="str">
        <f>IFERROR(IF(INDEX(Items[Selected Count], MATCH(Recipes2[[#This Row],[Name]], Items[Name], 0)) &gt; 0, ROW() - ROW(Recipes2[#Headers]), ""), "")</f>
        <v/>
      </c>
      <c r="AE101" s="1" t="str">
        <f>IFERROR(SMALL(Recipes2[Selected], ROW() - ROW(Recipes2[#Headers])), "")</f>
        <v/>
      </c>
      <c r="AF101" s="1" t="str">
        <f>IFERROR(INDEX(Recipes2[Name], Recipes2[[#This Row],[Selected Sorted]]), "")</f>
        <v/>
      </c>
      <c r="AG101" s="1" t="str">
        <f>IFERROR(INDEX(Recipes2[Component], Recipes2[[#This Row],[Selected Sorted]]), "")</f>
        <v/>
      </c>
      <c r="AH101" s="1" t="str">
        <f>IFERROR(INDEX(Recipes2[Quantity], Recipes2[[#This Row],[Selected Sorted]]), "")</f>
        <v/>
      </c>
    </row>
    <row r="102" spans="1:34" x14ac:dyDescent="0.25">
      <c r="A102" t="s">
        <v>50</v>
      </c>
      <c r="B102">
        <v>12</v>
      </c>
      <c r="C102">
        <f>MAX(Items[[#This Row],[Base Cycle Time]] / Items[[#This Row],[Speed]], MinInsertionTime) / Items[[#This Row],[Quantity Per Cycle]] / Items[[#This Row],[Bonus]]</f>
        <v>9.6</v>
      </c>
      <c r="D102" s="39">
        <v>1</v>
      </c>
      <c r="E102" t="s">
        <v>59</v>
      </c>
      <c r="F102" s="39">
        <f>INDEX(CraftingTypes[Speed], MATCH(Items[[#This Row],[Producer Type]], CraftingTypes[Producer Type], 0))</f>
        <v>1.25</v>
      </c>
      <c r="G102" s="39">
        <f>INDEX(CraftingTypes[Bonus], MATCH(Items[[#This Row],[Producer Type]], CraftingTypes[Producer Type], 0)) + 1</f>
        <v>1</v>
      </c>
      <c r="H102" s="38">
        <f>1 / Items[[#This Row],[Cycle Time for One]]</f>
        <v>0.10416666666666667</v>
      </c>
      <c r="I102" s="36" t="b">
        <f>IFERROR(OR(Items[[#This Row],[Name]] = SelectedName, INDEX(CraftingTypes[Include], MATCH(Items[[#This Row],[Producer Type]], CraftingTypes[Producer Type], 0))), FALSE)</f>
        <v>1</v>
      </c>
      <c r="J102" s="38">
        <f>IF(Items[[#This Row],[Name]] = SelectedName, 1, IF(NOT(Items[[#This Row],[Include]]), 0, SUMIFS(RecipeTotals.Quantity, RecipeTotals.Name, SelectedName, RecipeTotals.Component, Items[[#This Row],[Name]])))</f>
        <v>0</v>
      </c>
      <c r="K102" s="38">
        <f>IFERROR(Items[[#This Row],[Selected Count]] / CycleTime.Actual, "")</f>
        <v>0</v>
      </c>
      <c r="L102" s="38">
        <f>IFERROR(Items[[#This Row],[Selected Per Second]] / Items[[#This Row],[Per Second]], "")</f>
        <v>0</v>
      </c>
      <c r="M102" s="38">
        <f>IFERROR(Items[[#This Row],[Selected Per Second]] / Items[[#This Row],[Per Second]], "")</f>
        <v>0</v>
      </c>
      <c r="N102" s="38">
        <f>IFERROR(CEILING(Items[[#This Row],[Fractional Producers for Selected Count]], 1), 0)</f>
        <v>0</v>
      </c>
      <c r="O102" s="38" t="str">
        <f>IF(AND(Items[[#This Row],[Producers For Selected Count]] &gt; 0, Items[[#This Row],[Include]]), ROW() - ROW(Items[#Headers]), "")</f>
        <v/>
      </c>
      <c r="P102" s="38" t="str">
        <f>IFERROR(SMALL(Items[Include Row Index], ROW() - ROW(Items[#Headers])), "")</f>
        <v/>
      </c>
      <c r="R102" t="s">
        <v>25</v>
      </c>
      <c r="S102" t="s">
        <v>8</v>
      </c>
      <c r="T102">
        <v>5</v>
      </c>
      <c r="U102" t="str">
        <f>IFERROR(IF(INDEX(Items[Selected Count], MATCH(Recipes[[#This Row],[Name]], Items[Name], 0)) &gt; 0, ROW() - ROW(Recipes[#Headers]), ""), "")</f>
        <v/>
      </c>
      <c r="V102" t="str">
        <f>IFERROR(SMALL(Recipes[Selected], ROW() - ROW(Recipes[#Headers])), "")</f>
        <v/>
      </c>
      <c r="W102" t="str">
        <f>IFERROR(INDEX(Recipes[Name], Recipes[[#This Row],[Selected Sorted]]), "")</f>
        <v/>
      </c>
      <c r="X102" t="str">
        <f>IFERROR(INDEX(Recipes[Component], Recipes[[#This Row],[Selected Sorted]]), "")</f>
        <v/>
      </c>
      <c r="Y102" s="1" t="str">
        <f>IFERROR(INDEX(Recipes[Quantity], Recipes[[#This Row],[Selected Sorted]]), "")</f>
        <v/>
      </c>
      <c r="AA102" t="s">
        <v>165</v>
      </c>
      <c r="AB102" t="s">
        <v>5</v>
      </c>
      <c r="AC102">
        <v>3</v>
      </c>
      <c r="AD102" s="1" t="str">
        <f>IFERROR(IF(INDEX(Items[Selected Count], MATCH(Recipes2[[#This Row],[Name]], Items[Name], 0)) &gt; 0, ROW() - ROW(Recipes2[#Headers]), ""), "")</f>
        <v/>
      </c>
      <c r="AE102" s="1" t="str">
        <f>IFERROR(SMALL(Recipes2[Selected], ROW() - ROW(Recipes2[#Headers])), "")</f>
        <v/>
      </c>
      <c r="AF102" s="1" t="str">
        <f>IFERROR(INDEX(Recipes2[Name], Recipes2[[#This Row],[Selected Sorted]]), "")</f>
        <v/>
      </c>
      <c r="AG102" s="1" t="str">
        <f>IFERROR(INDEX(Recipes2[Component], Recipes2[[#This Row],[Selected Sorted]]), "")</f>
        <v/>
      </c>
      <c r="AH102" s="1" t="str">
        <f>IFERROR(INDEX(Recipes2[Quantity], Recipes2[[#This Row],[Selected Sorted]]), "")</f>
        <v/>
      </c>
    </row>
    <row r="103" spans="1:34" x14ac:dyDescent="0.25">
      <c r="A103" t="s">
        <v>126</v>
      </c>
      <c r="B103">
        <v>8</v>
      </c>
      <c r="C103" s="1">
        <f>MAX(Items[[#This Row],[Base Cycle Time]] / Items[[#This Row],[Speed]], MinInsertionTime) / Items[[#This Row],[Quantity Per Cycle]] / Items[[#This Row],[Bonus]]</f>
        <v>6.4</v>
      </c>
      <c r="D103" s="39">
        <v>1</v>
      </c>
      <c r="E103" t="s">
        <v>59</v>
      </c>
      <c r="F103" s="38">
        <f>INDEX(CraftingTypes[Speed], MATCH(Items[[#This Row],[Producer Type]], CraftingTypes[Producer Type], 0))</f>
        <v>1.25</v>
      </c>
      <c r="G103" s="38">
        <f>INDEX(CraftingTypes[Bonus], MATCH(Items[[#This Row],[Producer Type]], CraftingTypes[Producer Type], 0)) + 1</f>
        <v>1</v>
      </c>
      <c r="H103" s="38">
        <f>1 / Items[[#This Row],[Cycle Time for One]]</f>
        <v>0.15625</v>
      </c>
      <c r="I103" s="36" t="b">
        <f>IFERROR(OR(Items[[#This Row],[Name]] = SelectedName, INDEX(CraftingTypes[Include], MATCH(Items[[#This Row],[Producer Type]], CraftingTypes[Producer Type], 0))), FALSE)</f>
        <v>1</v>
      </c>
      <c r="J103" s="38">
        <f>IF(Items[[#This Row],[Name]] = SelectedName, 1, IF(NOT(Items[[#This Row],[Include]]), 0, SUMIFS(RecipeTotals.Quantity, RecipeTotals.Name, SelectedName, RecipeTotals.Component, Items[[#This Row],[Name]])))</f>
        <v>0</v>
      </c>
      <c r="K103" s="38">
        <f>IFERROR(Items[[#This Row],[Selected Count]] / CycleTime.Actual, "")</f>
        <v>0</v>
      </c>
      <c r="L103" s="38">
        <f>IFERROR(Items[[#This Row],[Selected Per Second]] / Items[[#This Row],[Per Second]], "")</f>
        <v>0</v>
      </c>
      <c r="M103" s="38">
        <f>IFERROR(Items[[#This Row],[Selected Per Second]] / Items[[#This Row],[Per Second]], "")</f>
        <v>0</v>
      </c>
      <c r="N103" s="38">
        <f>IFERROR(CEILING(Items[[#This Row],[Fractional Producers for Selected Count]], 1), 0)</f>
        <v>0</v>
      </c>
      <c r="O103" s="38" t="str">
        <f>IF(AND(Items[[#This Row],[Producers For Selected Count]] &gt; 0, Items[[#This Row],[Include]]), ROW() - ROW(Items[#Headers]), "")</f>
        <v/>
      </c>
      <c r="P103" s="38" t="str">
        <f>IFERROR(SMALL(Items[Include Row Index], ROW() - ROW(Items[#Headers])), "")</f>
        <v/>
      </c>
      <c r="R103" t="s">
        <v>25</v>
      </c>
      <c r="S103" t="s">
        <v>24</v>
      </c>
      <c r="T103">
        <v>1</v>
      </c>
      <c r="U103" t="str">
        <f>IFERROR(IF(INDEX(Items[Selected Count], MATCH(Recipes[[#This Row],[Name]], Items[Name], 0)) &gt; 0, ROW() - ROW(Recipes[#Headers]), ""), "")</f>
        <v/>
      </c>
      <c r="V103" t="str">
        <f>IFERROR(SMALL(Recipes[Selected], ROW() - ROW(Recipes[#Headers])), "")</f>
        <v/>
      </c>
      <c r="W103" t="str">
        <f>IFERROR(INDEX(Recipes[Name], Recipes[[#This Row],[Selected Sorted]]), "")</f>
        <v/>
      </c>
      <c r="X103" t="str">
        <f>IFERROR(INDEX(Recipes[Component], Recipes[[#This Row],[Selected Sorted]]), "")</f>
        <v/>
      </c>
      <c r="Y103" s="1" t="str">
        <f>IFERROR(INDEX(Recipes[Quantity], Recipes[[#This Row],[Selected Sorted]]), "")</f>
        <v/>
      </c>
      <c r="AA103" t="s">
        <v>126</v>
      </c>
      <c r="AB103" t="s">
        <v>5</v>
      </c>
      <c r="AC103">
        <v>2</v>
      </c>
      <c r="AD103" s="1" t="str">
        <f>IFERROR(IF(INDEX(Items[Selected Count], MATCH(Recipes2[[#This Row],[Name]], Items[Name], 0)) &gt; 0, ROW() - ROW(Recipes2[#Headers]), ""), "")</f>
        <v/>
      </c>
      <c r="AE103" s="1" t="str">
        <f>IFERROR(SMALL(Recipes2[Selected], ROW() - ROW(Recipes2[#Headers])), "")</f>
        <v/>
      </c>
      <c r="AF103" s="1" t="str">
        <f>IFERROR(INDEX(Recipes2[Name], Recipes2[[#This Row],[Selected Sorted]]), "")</f>
        <v/>
      </c>
      <c r="AG103" s="1" t="str">
        <f>IFERROR(INDEX(Recipes2[Component], Recipes2[[#This Row],[Selected Sorted]]), "")</f>
        <v/>
      </c>
      <c r="AH103" s="1" t="str">
        <f>IFERROR(INDEX(Recipes2[Quantity], Recipes2[[#This Row],[Selected Sorted]]), "")</f>
        <v/>
      </c>
    </row>
    <row r="104" spans="1:34" x14ac:dyDescent="0.25">
      <c r="A104" t="s">
        <v>151</v>
      </c>
      <c r="B104">
        <v>0.5</v>
      </c>
      <c r="C104" s="1">
        <f>MAX(Items[[#This Row],[Base Cycle Time]] / Items[[#This Row],[Speed]], MinInsertionTime) / Items[[#This Row],[Quantity Per Cycle]] / Items[[#This Row],[Bonus]]</f>
        <v>0.4</v>
      </c>
      <c r="D104" s="39">
        <v>1</v>
      </c>
      <c r="E104" t="s">
        <v>59</v>
      </c>
      <c r="F104" s="38">
        <f>INDEX(CraftingTypes[Speed], MATCH(Items[[#This Row],[Producer Type]], CraftingTypes[Producer Type], 0))</f>
        <v>1.25</v>
      </c>
      <c r="G104" s="38">
        <f>INDEX(CraftingTypes[Bonus], MATCH(Items[[#This Row],[Producer Type]], CraftingTypes[Producer Type], 0)) + 1</f>
        <v>1</v>
      </c>
      <c r="H104" s="38">
        <f>1 / Items[[#This Row],[Cycle Time for One]]</f>
        <v>2.5</v>
      </c>
      <c r="I104" s="36" t="b">
        <f>IFERROR(OR(Items[[#This Row],[Name]] = SelectedName, INDEX(CraftingTypes[Include], MATCH(Items[[#This Row],[Producer Type]], CraftingTypes[Producer Type], 0))), FALSE)</f>
        <v>1</v>
      </c>
      <c r="J104" s="38">
        <f>IF(Items[[#This Row],[Name]] = SelectedName, 1, IF(NOT(Items[[#This Row],[Include]]), 0, SUMIFS(RecipeTotals.Quantity, RecipeTotals.Name, SelectedName, RecipeTotals.Component, Items[[#This Row],[Name]])))</f>
        <v>0</v>
      </c>
      <c r="K104" s="38">
        <f>IFERROR(Items[[#This Row],[Selected Count]] / CycleTime.Actual, "")</f>
        <v>0</v>
      </c>
      <c r="L104" s="38">
        <f>IFERROR(Items[[#This Row],[Selected Per Second]] / Items[[#This Row],[Per Second]], "")</f>
        <v>0</v>
      </c>
      <c r="M104" s="38">
        <f>IFERROR(Items[[#This Row],[Selected Per Second]] / Items[[#This Row],[Per Second]], "")</f>
        <v>0</v>
      </c>
      <c r="N104" s="38">
        <f>IFERROR(CEILING(Items[[#This Row],[Fractional Producers for Selected Count]], 1), 0)</f>
        <v>0</v>
      </c>
      <c r="O104" s="38" t="str">
        <f>IF(AND(Items[[#This Row],[Producers For Selected Count]] &gt; 0, Items[[#This Row],[Include]]), ROW() - ROW(Items[#Headers]), "")</f>
        <v/>
      </c>
      <c r="P104" s="38" t="str">
        <f>IFERROR(SMALL(Items[Include Row Index], ROW() - ROW(Items[#Headers])), "")</f>
        <v/>
      </c>
      <c r="R104" t="s">
        <v>28</v>
      </c>
      <c r="S104" t="s">
        <v>8</v>
      </c>
      <c r="T104">
        <v>20</v>
      </c>
      <c r="U104" t="str">
        <f>IFERROR(IF(INDEX(Items[Selected Count], MATCH(Recipes[[#This Row],[Name]], Items[Name], 0)) &gt; 0, ROW() - ROW(Recipes[#Headers]), ""), "")</f>
        <v/>
      </c>
      <c r="V104" t="str">
        <f>IFERROR(SMALL(Recipes[Selected], ROW() - ROW(Recipes[#Headers])), "")</f>
        <v/>
      </c>
      <c r="W104" t="str">
        <f>IFERROR(INDEX(Recipes[Name], Recipes[[#This Row],[Selected Sorted]]), "")</f>
        <v/>
      </c>
      <c r="X104" t="str">
        <f>IFERROR(INDEX(Recipes[Component], Recipes[[#This Row],[Selected Sorted]]), "")</f>
        <v/>
      </c>
      <c r="Y104" s="1" t="str">
        <f>IFERROR(INDEX(Recipes[Quantity], Recipes[[#This Row],[Selected Sorted]]), "")</f>
        <v/>
      </c>
      <c r="AA104" t="s">
        <v>67</v>
      </c>
      <c r="AB104" t="s">
        <v>5</v>
      </c>
      <c r="AC104">
        <v>15</v>
      </c>
      <c r="AD104" t="str">
        <f>IFERROR(IF(INDEX(Items[Selected Count], MATCH(Recipes2[[#This Row],[Name]], Items[Name], 0)) &gt; 0, ROW() - ROW(Recipes2[#Headers]), ""), "")</f>
        <v/>
      </c>
      <c r="AE104" t="str">
        <f>IFERROR(SMALL(Recipes2[Selected], ROW() - ROW(Recipes2[#Headers])), "")</f>
        <v/>
      </c>
      <c r="AF104" t="str">
        <f>IFERROR(INDEX(Recipes2[Name], Recipes2[[#This Row],[Selected Sorted]]), "")</f>
        <v/>
      </c>
      <c r="AG104" t="str">
        <f>IFERROR(INDEX(Recipes2[Component], Recipes2[[#This Row],[Selected Sorted]]), "")</f>
        <v/>
      </c>
      <c r="AH104" s="1" t="str">
        <f>IFERROR(INDEX(Recipes2[Quantity], Recipes2[[#This Row],[Selected Sorted]]), "")</f>
        <v/>
      </c>
    </row>
    <row r="105" spans="1:34" x14ac:dyDescent="0.25">
      <c r="A105" t="s">
        <v>67</v>
      </c>
      <c r="B105">
        <v>10</v>
      </c>
      <c r="C105">
        <f>MAX(Items[[#This Row],[Base Cycle Time]] / Items[[#This Row],[Speed]], MinInsertionTime) / Items[[#This Row],[Quantity Per Cycle]] / Items[[#This Row],[Bonus]]</f>
        <v>8</v>
      </c>
      <c r="D105" s="39">
        <v>1</v>
      </c>
      <c r="E105" t="s">
        <v>59</v>
      </c>
      <c r="F105" s="39">
        <f>INDEX(CraftingTypes[Speed], MATCH(Items[[#This Row],[Producer Type]], CraftingTypes[Producer Type], 0))</f>
        <v>1.25</v>
      </c>
      <c r="G105" s="39">
        <f>INDEX(CraftingTypes[Bonus], MATCH(Items[[#This Row],[Producer Type]], CraftingTypes[Producer Type], 0)) + 1</f>
        <v>1</v>
      </c>
      <c r="H105" s="38">
        <f>1 / Items[[#This Row],[Cycle Time for One]]</f>
        <v>0.125</v>
      </c>
      <c r="I105" s="36" t="b">
        <f>IFERROR(OR(Items[[#This Row],[Name]] = SelectedName, INDEX(CraftingTypes[Include], MATCH(Items[[#This Row],[Producer Type]], CraftingTypes[Producer Type], 0))), FALSE)</f>
        <v>1</v>
      </c>
      <c r="J105" s="38">
        <f>IF(Items[[#This Row],[Name]] = SelectedName, 1, IF(NOT(Items[[#This Row],[Include]]), 0, SUMIFS(RecipeTotals.Quantity, RecipeTotals.Name, SelectedName, RecipeTotals.Component, Items[[#This Row],[Name]])))</f>
        <v>0</v>
      </c>
      <c r="K105" s="38">
        <f>IFERROR(Items[[#This Row],[Selected Count]] / CycleTime.Actual, "")</f>
        <v>0</v>
      </c>
      <c r="L105" s="38">
        <f>IFERROR(Items[[#This Row],[Selected Per Second]] / Items[[#This Row],[Per Second]], "")</f>
        <v>0</v>
      </c>
      <c r="M105" s="38">
        <f>IFERROR(Items[[#This Row],[Selected Per Second]] / Items[[#This Row],[Per Second]], "")</f>
        <v>0</v>
      </c>
      <c r="N105" s="38">
        <f>IFERROR(CEILING(Items[[#This Row],[Fractional Producers for Selected Count]], 1), 0)</f>
        <v>0</v>
      </c>
      <c r="O105" s="38" t="str">
        <f>IF(AND(Items[[#This Row],[Producers For Selected Count]] &gt; 0, Items[[#This Row],[Include]]), ROW() - ROW(Items[#Headers]), "")</f>
        <v/>
      </c>
      <c r="P105" s="38" t="str">
        <f>IFERROR(SMALL(Items[Include Row Index], ROW() - ROW(Items[#Headers])), "")</f>
        <v/>
      </c>
      <c r="R105" t="s">
        <v>28</v>
      </c>
      <c r="S105" t="s">
        <v>27</v>
      </c>
      <c r="T105">
        <v>2</v>
      </c>
      <c r="U105" t="str">
        <f>IFERROR(IF(INDEX(Items[Selected Count], MATCH(Recipes[[#This Row],[Name]], Items[Name], 0)) &gt; 0, ROW() - ROW(Recipes[#Headers]), ""), "")</f>
        <v/>
      </c>
      <c r="V105" t="str">
        <f>IFERROR(SMALL(Recipes[Selected], ROW() - ROW(Recipes[#Headers])), "")</f>
        <v/>
      </c>
      <c r="W105" t="str">
        <f>IFERROR(INDEX(Recipes[Name], Recipes[[#This Row],[Selected Sorted]]), "")</f>
        <v/>
      </c>
      <c r="X105" t="str">
        <f>IFERROR(INDEX(Recipes[Component], Recipes[[#This Row],[Selected Sorted]]), "")</f>
        <v/>
      </c>
      <c r="Y105" s="1" t="str">
        <f>IFERROR(INDEX(Recipes[Quantity], Recipes[[#This Row],[Selected Sorted]]), "")</f>
        <v/>
      </c>
      <c r="AA105" t="s">
        <v>0</v>
      </c>
      <c r="AB105" t="s">
        <v>5</v>
      </c>
      <c r="AC105">
        <v>5</v>
      </c>
      <c r="AD105" t="str">
        <f>IFERROR(IF(INDEX(Items[Selected Count], MATCH(Recipes2[[#This Row],[Name]], Items[Name], 0)) &gt; 0, ROW() - ROW(Recipes2[#Headers]), ""), "")</f>
        <v/>
      </c>
      <c r="AE105" t="str">
        <f>IFERROR(SMALL(Recipes2[Selected], ROW() - ROW(Recipes2[#Headers])), "")</f>
        <v/>
      </c>
      <c r="AF105" t="str">
        <f>IFERROR(INDEX(Recipes2[Name], Recipes2[[#This Row],[Selected Sorted]]), "")</f>
        <v/>
      </c>
      <c r="AG105" t="str">
        <f>IFERROR(INDEX(Recipes2[Component], Recipes2[[#This Row],[Selected Sorted]]), "")</f>
        <v/>
      </c>
      <c r="AH105" s="1" t="str">
        <f>IFERROR(INDEX(Recipes2[Quantity], Recipes2[[#This Row],[Selected Sorted]]), "")</f>
        <v/>
      </c>
    </row>
    <row r="106" spans="1:34" x14ac:dyDescent="0.25">
      <c r="A106" t="s">
        <v>131</v>
      </c>
      <c r="B106">
        <v>3</v>
      </c>
      <c r="C106" s="1">
        <f>MAX(Items[[#This Row],[Base Cycle Time]] / Items[[#This Row],[Speed]], MinInsertionTime) / Items[[#This Row],[Quantity Per Cycle]] / Items[[#This Row],[Bonus]]</f>
        <v>0.96</v>
      </c>
      <c r="D106" s="39">
        <v>1</v>
      </c>
      <c r="E106" t="s">
        <v>60</v>
      </c>
      <c r="F106" s="38">
        <f>INDEX(CraftingTypes[Speed], MATCH(Items[[#This Row],[Producer Type]], CraftingTypes[Producer Type], 0))</f>
        <v>3.125</v>
      </c>
      <c r="G106" s="38">
        <f>INDEX(CraftingTypes[Bonus], MATCH(Items[[#This Row],[Producer Type]], CraftingTypes[Producer Type], 0)) + 1</f>
        <v>1</v>
      </c>
      <c r="H106" s="38">
        <f>1 / Items[[#This Row],[Cycle Time for One]]</f>
        <v>1.0416666666666667</v>
      </c>
      <c r="I106" s="36" t="b">
        <f>IFERROR(OR(Items[[#This Row],[Name]] = SelectedName, INDEX(CraftingTypes[Include], MATCH(Items[[#This Row],[Producer Type]], CraftingTypes[Producer Type], 0))), FALSE)</f>
        <v>1</v>
      </c>
      <c r="J106" s="38">
        <f>IF(Items[[#This Row],[Name]] = SelectedName, 1, IF(NOT(Items[[#This Row],[Include]]), 0, SUMIFS(RecipeTotals.Quantity, RecipeTotals.Name, SelectedName, RecipeTotals.Component, Items[[#This Row],[Name]])))</f>
        <v>0</v>
      </c>
      <c r="K106" s="38">
        <f>IFERROR(Items[[#This Row],[Selected Count]] / CycleTime.Actual, "")</f>
        <v>0</v>
      </c>
      <c r="L106" s="38">
        <f>IFERROR(Items[[#This Row],[Selected Per Second]] / Items[[#This Row],[Per Second]], "")</f>
        <v>0</v>
      </c>
      <c r="M106" s="38">
        <f>IFERROR(Items[[#This Row],[Selected Per Second]] / Items[[#This Row],[Per Second]], "")</f>
        <v>0</v>
      </c>
      <c r="N106" s="38">
        <f>IFERROR(CEILING(Items[[#This Row],[Fractional Producers for Selected Count]], 1), 0)</f>
        <v>0</v>
      </c>
      <c r="O106" s="38" t="str">
        <f>IF(AND(Items[[#This Row],[Producers For Selected Count]] &gt; 0, Items[[#This Row],[Include]]), ROW() - ROW(Items[#Headers]), "")</f>
        <v/>
      </c>
      <c r="P106" s="38" t="str">
        <f>IFERROR(SMALL(Items[Include Row Index], ROW() - ROW(Items[#Headers])), "")</f>
        <v/>
      </c>
      <c r="R106" t="s">
        <v>45</v>
      </c>
      <c r="S106" t="s">
        <v>5</v>
      </c>
      <c r="T106">
        <v>4</v>
      </c>
      <c r="U106" t="str">
        <f>IFERROR(IF(INDEX(Items[Selected Count], MATCH(Recipes[[#This Row],[Name]], Items[Name], 0)) &gt; 0, ROW() - ROW(Recipes[#Headers]), ""), "")</f>
        <v/>
      </c>
      <c r="V106" t="str">
        <f>IFERROR(SMALL(Recipes[Selected], ROW() - ROW(Recipes[#Headers])), "")</f>
        <v/>
      </c>
      <c r="W106" t="str">
        <f>IFERROR(INDEX(Recipes[Name], Recipes[[#This Row],[Selected Sorted]]), "")</f>
        <v/>
      </c>
      <c r="X106" t="str">
        <f>IFERROR(INDEX(Recipes[Component], Recipes[[#This Row],[Selected Sorted]]), "")</f>
        <v/>
      </c>
      <c r="Y106" s="1" t="str">
        <f>IFERROR(INDEX(Recipes[Quantity], Recipes[[#This Row],[Selected Sorted]]), "")</f>
        <v/>
      </c>
      <c r="AA106" t="s">
        <v>30</v>
      </c>
      <c r="AB106" t="s">
        <v>5</v>
      </c>
      <c r="AC106">
        <v>5</v>
      </c>
      <c r="AD106" t="str">
        <f>IFERROR(IF(INDEX(Items[Selected Count], MATCH(Recipes2[[#This Row],[Name]], Items[Name], 0)) &gt; 0, ROW() - ROW(Recipes2[#Headers]), ""), "")</f>
        <v/>
      </c>
      <c r="AE106" t="str">
        <f>IFERROR(SMALL(Recipes2[Selected], ROW() - ROW(Recipes2[#Headers])), "")</f>
        <v/>
      </c>
      <c r="AF106" t="str">
        <f>IFERROR(INDEX(Recipes2[Name], Recipes2[[#This Row],[Selected Sorted]]), "")</f>
        <v/>
      </c>
      <c r="AG106" t="str">
        <f>IFERROR(INDEX(Recipes2[Component], Recipes2[[#This Row],[Selected Sorted]]), "")</f>
        <v/>
      </c>
      <c r="AH106" s="1" t="str">
        <f>IFERROR(INDEX(Recipes2[Quantity], Recipes2[[#This Row],[Selected Sorted]]), "")</f>
        <v/>
      </c>
    </row>
    <row r="107" spans="1:34" x14ac:dyDescent="0.25">
      <c r="A107" t="s">
        <v>0</v>
      </c>
      <c r="B107">
        <v>15</v>
      </c>
      <c r="C107">
        <f>MAX(Items[[#This Row],[Base Cycle Time]] / Items[[#This Row],[Speed]], MinInsertionTime) / Items[[#This Row],[Quantity Per Cycle]] / Items[[#This Row],[Bonus]]</f>
        <v>12</v>
      </c>
      <c r="D107" s="39">
        <v>1</v>
      </c>
      <c r="E107" t="s">
        <v>59</v>
      </c>
      <c r="F107" s="39">
        <f>INDEX(CraftingTypes[Speed], MATCH(Items[[#This Row],[Producer Type]], CraftingTypes[Producer Type], 0))</f>
        <v>1.25</v>
      </c>
      <c r="G107" s="39">
        <f>INDEX(CraftingTypes[Bonus], MATCH(Items[[#This Row],[Producer Type]], CraftingTypes[Producer Type], 0)) + 1</f>
        <v>1</v>
      </c>
      <c r="H107" s="39">
        <f>1 / Items[[#This Row],[Cycle Time for One]]</f>
        <v>8.3333333333333329E-2</v>
      </c>
      <c r="I107" s="37" t="b">
        <f>IFERROR(OR(Items[[#This Row],[Name]] = SelectedName, INDEX(CraftingTypes[Include], MATCH(Items[[#This Row],[Producer Type]], CraftingTypes[Producer Type], 0))), FALSE)</f>
        <v>1</v>
      </c>
      <c r="J107" s="39">
        <f>IF(Items[[#This Row],[Name]] = SelectedName, 1, IF(NOT(Items[[#This Row],[Include]]), 0, SUMIFS(RecipeTotals.Quantity, RecipeTotals.Name, SelectedName, RecipeTotals.Component, Items[[#This Row],[Name]])))</f>
        <v>0</v>
      </c>
      <c r="K107" s="39">
        <f>IFERROR(Items[[#This Row],[Selected Count]] / CycleTime.Actual, "")</f>
        <v>0</v>
      </c>
      <c r="L107" s="39">
        <f>IFERROR(Items[[#This Row],[Selected Per Second]] / Items[[#This Row],[Per Second]], "")</f>
        <v>0</v>
      </c>
      <c r="M107" s="39">
        <f>IFERROR(Items[[#This Row],[Selected Per Second]] / Items[[#This Row],[Per Second]], "")</f>
        <v>0</v>
      </c>
      <c r="N107" s="39">
        <f>IFERROR(CEILING(Items[[#This Row],[Fractional Producers for Selected Count]], 1), 0)</f>
        <v>0</v>
      </c>
      <c r="O107" s="38" t="str">
        <f>IF(AND(Items[[#This Row],[Producers For Selected Count]] &gt; 0, Items[[#This Row],[Include]]), ROW() - ROW(Items[#Headers]), "")</f>
        <v/>
      </c>
      <c r="P107" s="38" t="str">
        <f>IFERROR(SMALL(Items[Include Row Index], ROW() - ROW(Items[#Headers])), "")</f>
        <v/>
      </c>
      <c r="R107" t="s">
        <v>45</v>
      </c>
      <c r="S107" t="s">
        <v>44</v>
      </c>
      <c r="T107">
        <v>1</v>
      </c>
      <c r="U107" t="str">
        <f>IFERROR(IF(INDEX(Items[Selected Count], MATCH(Recipes[[#This Row],[Name]], Items[Name], 0)) &gt; 0, ROW() - ROW(Recipes[#Headers]), ""), "")</f>
        <v/>
      </c>
      <c r="V107" t="str">
        <f>IFERROR(SMALL(Recipes[Selected], ROW() - ROW(Recipes[#Headers])), "")</f>
        <v/>
      </c>
      <c r="W107" t="str">
        <f>IFERROR(INDEX(Recipes[Name], Recipes[[#This Row],[Selected Sorted]]), "")</f>
        <v/>
      </c>
      <c r="X107" t="str">
        <f>IFERROR(INDEX(Recipes[Component], Recipes[[#This Row],[Selected Sorted]]), "")</f>
        <v/>
      </c>
      <c r="Y107" s="1" t="str">
        <f>IFERROR(INDEX(Recipes[Quantity], Recipes[[#This Row],[Selected Sorted]]), "")</f>
        <v/>
      </c>
      <c r="AA107" t="s">
        <v>47</v>
      </c>
      <c r="AB107" t="s">
        <v>5</v>
      </c>
      <c r="AC107">
        <v>5</v>
      </c>
      <c r="AD107" t="str">
        <f>IFERROR(IF(INDEX(Items[Selected Count], MATCH(Recipes2[[#This Row],[Name]], Items[Name], 0)) &gt; 0, ROW() - ROW(Recipes2[#Headers]), ""), "")</f>
        <v/>
      </c>
      <c r="AE107" t="str">
        <f>IFERROR(SMALL(Recipes2[Selected], ROW() - ROW(Recipes2[#Headers])), "")</f>
        <v/>
      </c>
      <c r="AF107" t="str">
        <f>IFERROR(INDEX(Recipes2[Name], Recipes2[[#This Row],[Selected Sorted]]), "")</f>
        <v/>
      </c>
      <c r="AG107" t="str">
        <f>IFERROR(INDEX(Recipes2[Component], Recipes2[[#This Row],[Selected Sorted]]), "")</f>
        <v/>
      </c>
      <c r="AH107" s="1" t="str">
        <f>IFERROR(INDEX(Recipes2[Quantity], Recipes2[[#This Row],[Selected Sorted]]), "")</f>
        <v/>
      </c>
    </row>
    <row r="108" spans="1:34" x14ac:dyDescent="0.25">
      <c r="A108" t="s">
        <v>114</v>
      </c>
      <c r="B108">
        <v>30</v>
      </c>
      <c r="C108" s="1">
        <f>MAX(Items[[#This Row],[Base Cycle Time]] / Items[[#This Row],[Speed]], MinInsertionTime) / Items[[#This Row],[Quantity Per Cycle]] / Items[[#This Row],[Bonus]]</f>
        <v>24</v>
      </c>
      <c r="D108" s="39">
        <v>1</v>
      </c>
      <c r="E108" t="s">
        <v>59</v>
      </c>
      <c r="F108" s="38">
        <f>INDEX(CraftingTypes[Speed], MATCH(Items[[#This Row],[Producer Type]], CraftingTypes[Producer Type], 0))</f>
        <v>1.25</v>
      </c>
      <c r="G108" s="38">
        <f>INDEX(CraftingTypes[Bonus], MATCH(Items[[#This Row],[Producer Type]], CraftingTypes[Producer Type], 0)) + 1</f>
        <v>1</v>
      </c>
      <c r="H108" s="38">
        <f>1 / Items[[#This Row],[Cycle Time for One]]</f>
        <v>4.1666666666666664E-2</v>
      </c>
      <c r="I108" s="36" t="b">
        <f>IFERROR(OR(Items[[#This Row],[Name]] = SelectedName, INDEX(CraftingTypes[Include], MATCH(Items[[#This Row],[Producer Type]], CraftingTypes[Producer Type], 0))), FALSE)</f>
        <v>1</v>
      </c>
      <c r="J108" s="38">
        <f>IF(Items[[#This Row],[Name]] = SelectedName, 1, IF(NOT(Items[[#This Row],[Include]]), 0, SUMIFS(RecipeTotals.Quantity, RecipeTotals.Name, SelectedName, RecipeTotals.Component, Items[[#This Row],[Name]])))</f>
        <v>0</v>
      </c>
      <c r="K108" s="38">
        <f>IFERROR(Items[[#This Row],[Selected Count]] / CycleTime.Actual, "")</f>
        <v>0</v>
      </c>
      <c r="L108" s="38">
        <f>IFERROR(Items[[#This Row],[Selected Per Second]] / Items[[#This Row],[Per Second]], "")</f>
        <v>0</v>
      </c>
      <c r="M108" s="38">
        <f>IFERROR(Items[[#This Row],[Selected Per Second]] / Items[[#This Row],[Per Second]], "")</f>
        <v>0</v>
      </c>
      <c r="N108" s="38">
        <f>IFERROR(CEILING(Items[[#This Row],[Fractional Producers for Selected Count]], 1), 0)</f>
        <v>0</v>
      </c>
      <c r="O108" s="38" t="str">
        <f>IF(AND(Items[[#This Row],[Producers For Selected Count]] &gt; 0, Items[[#This Row],[Include]]), ROW() - ROW(Items[#Headers]), "")</f>
        <v/>
      </c>
      <c r="P108" s="38" t="str">
        <f>IFERROR(SMALL(Items[Include Row Index], ROW() - ROW(Items[#Headers])), "")</f>
        <v/>
      </c>
      <c r="R108" t="s">
        <v>71</v>
      </c>
      <c r="S108" t="s">
        <v>2</v>
      </c>
      <c r="T108">
        <v>4</v>
      </c>
      <c r="U108" t="str">
        <f>IFERROR(IF(INDEX(Items[Selected Count], MATCH(Recipes[[#This Row],[Name]], Items[Name], 0)) &gt; 0, ROW() - ROW(Recipes[#Headers]), ""), "")</f>
        <v/>
      </c>
      <c r="V108" t="str">
        <f>IFERROR(SMALL(Recipes[Selected], ROW() - ROW(Recipes[#Headers])), "")</f>
        <v/>
      </c>
      <c r="W108" t="str">
        <f>IFERROR(INDEX(Recipes[Name], Recipes[[#This Row],[Selected Sorted]]), "")</f>
        <v/>
      </c>
      <c r="X108" t="str">
        <f>IFERROR(INDEX(Recipes[Component], Recipes[[#This Row],[Selected Sorted]]), "")</f>
        <v/>
      </c>
      <c r="Y108" s="1" t="str">
        <f>IFERROR(INDEX(Recipes[Quantity], Recipes[[#This Row],[Selected Sorted]]), "")</f>
        <v/>
      </c>
      <c r="AA108" t="s">
        <v>46</v>
      </c>
      <c r="AB108" t="s">
        <v>5</v>
      </c>
      <c r="AC108">
        <v>15</v>
      </c>
      <c r="AD108" t="str">
        <f>IFERROR(IF(INDEX(Items[Selected Count], MATCH(Recipes2[[#This Row],[Name]], Items[Name], 0)) &gt; 0, ROW() - ROW(Recipes2[#Headers]), ""), "")</f>
        <v/>
      </c>
      <c r="AE108" t="str">
        <f>IFERROR(SMALL(Recipes2[Selected], ROW() - ROW(Recipes2[#Headers])), "")</f>
        <v/>
      </c>
      <c r="AF108" t="str">
        <f>IFERROR(INDEX(Recipes2[Name], Recipes2[[#This Row],[Selected Sorted]]), "")</f>
        <v/>
      </c>
      <c r="AG108" t="str">
        <f>IFERROR(INDEX(Recipes2[Component], Recipes2[[#This Row],[Selected Sorted]]), "")</f>
        <v/>
      </c>
      <c r="AH108" s="1" t="str">
        <f>IFERROR(INDEX(Recipes2[Quantity], Recipes2[[#This Row],[Selected Sorted]]), "")</f>
        <v/>
      </c>
    </row>
    <row r="109" spans="1:34" x14ac:dyDescent="0.25">
      <c r="A109" t="s">
        <v>115</v>
      </c>
      <c r="B109">
        <v>60</v>
      </c>
      <c r="C109" s="1">
        <f>MAX(Items[[#This Row],[Base Cycle Time]] / Items[[#This Row],[Speed]], MinInsertionTime) / Items[[#This Row],[Quantity Per Cycle]] / Items[[#This Row],[Bonus]]</f>
        <v>48</v>
      </c>
      <c r="D109" s="39">
        <v>1</v>
      </c>
      <c r="E109" t="s">
        <v>59</v>
      </c>
      <c r="F109" s="38">
        <f>INDEX(CraftingTypes[Speed], MATCH(Items[[#This Row],[Producer Type]], CraftingTypes[Producer Type], 0))</f>
        <v>1.25</v>
      </c>
      <c r="G109" s="38">
        <f>INDEX(CraftingTypes[Bonus], MATCH(Items[[#This Row],[Producer Type]], CraftingTypes[Producer Type], 0)) + 1</f>
        <v>1</v>
      </c>
      <c r="H109" s="38">
        <f>1 / Items[[#This Row],[Cycle Time for One]]</f>
        <v>2.0833333333333332E-2</v>
      </c>
      <c r="I109" s="36" t="b">
        <f>IFERROR(OR(Items[[#This Row],[Name]] = SelectedName, INDEX(CraftingTypes[Include], MATCH(Items[[#This Row],[Producer Type]], CraftingTypes[Producer Type], 0))), FALSE)</f>
        <v>1</v>
      </c>
      <c r="J109" s="38">
        <f>IF(Items[[#This Row],[Name]] = SelectedName, 1, IF(NOT(Items[[#This Row],[Include]]), 0, SUMIFS(RecipeTotals.Quantity, RecipeTotals.Name, SelectedName, RecipeTotals.Component, Items[[#This Row],[Name]])))</f>
        <v>0</v>
      </c>
      <c r="K109" s="38">
        <f>IFERROR(Items[[#This Row],[Selected Count]] / CycleTime.Actual, "")</f>
        <v>0</v>
      </c>
      <c r="L109" s="38">
        <f>IFERROR(Items[[#This Row],[Selected Per Second]] / Items[[#This Row],[Per Second]], "")</f>
        <v>0</v>
      </c>
      <c r="M109" s="38">
        <f>IFERROR(Items[[#This Row],[Selected Per Second]] / Items[[#This Row],[Per Second]], "")</f>
        <v>0</v>
      </c>
      <c r="N109" s="38">
        <f>IFERROR(CEILING(Items[[#This Row],[Fractional Producers for Selected Count]], 1), 0)</f>
        <v>0</v>
      </c>
      <c r="O109" s="38" t="str">
        <f>IF(AND(Items[[#This Row],[Producers For Selected Count]] &gt; 0, Items[[#This Row],[Include]]), ROW() - ROW(Items[#Headers]), "")</f>
        <v/>
      </c>
      <c r="P109" s="38" t="str">
        <f>IFERROR(SMALL(Items[Include Row Index], ROW() - ROW(Items[#Headers])), "")</f>
        <v/>
      </c>
      <c r="R109" t="s">
        <v>160</v>
      </c>
      <c r="S109" t="s">
        <v>8</v>
      </c>
      <c r="T109">
        <v>10</v>
      </c>
      <c r="U109" s="1" t="str">
        <f>IFERROR(IF(INDEX(Items[Selected Count], MATCH(Recipes[[#This Row],[Name]], Items[Name], 0)) &gt; 0, ROW() - ROW(Recipes[#Headers]), ""), "")</f>
        <v/>
      </c>
      <c r="V109" s="1" t="str">
        <f>IFERROR(SMALL(Recipes[Selected], ROW() - ROW(Recipes[#Headers])), "")</f>
        <v/>
      </c>
      <c r="W109" s="1" t="str">
        <f>IFERROR(INDEX(Recipes[Name], Recipes[[#This Row],[Selected Sorted]]), "")</f>
        <v/>
      </c>
      <c r="X109" s="1" t="str">
        <f>IFERROR(INDEX(Recipes[Component], Recipes[[#This Row],[Selected Sorted]]), "")</f>
        <v/>
      </c>
      <c r="Y109" s="1" t="str">
        <f>IFERROR(INDEX(Recipes[Quantity], Recipes[[#This Row],[Selected Sorted]]), "")</f>
        <v/>
      </c>
      <c r="AA109" t="s">
        <v>166</v>
      </c>
      <c r="AB109" t="s">
        <v>5</v>
      </c>
      <c r="AC109">
        <v>3</v>
      </c>
      <c r="AD109" s="1" t="str">
        <f>IFERROR(IF(INDEX(Items[Selected Count], MATCH(Recipes2[[#This Row],[Name]], Items[Name], 0)) &gt; 0, ROW() - ROW(Recipes2[#Headers]), ""), "")</f>
        <v/>
      </c>
      <c r="AE109" s="1" t="str">
        <f>IFERROR(SMALL(Recipes2[Selected], ROW() - ROW(Recipes2[#Headers])), "")</f>
        <v/>
      </c>
      <c r="AF109" s="1" t="str">
        <f>IFERROR(INDEX(Recipes2[Name], Recipes2[[#This Row],[Selected Sorted]]), "")</f>
        <v/>
      </c>
      <c r="AG109" s="1" t="str">
        <f>IFERROR(INDEX(Recipes2[Component], Recipes2[[#This Row],[Selected Sorted]]), "")</f>
        <v/>
      </c>
      <c r="AH109" s="1" t="str">
        <f>IFERROR(INDEX(Recipes2[Quantity], Recipes2[[#This Row],[Selected Sorted]]), "")</f>
        <v/>
      </c>
    </row>
    <row r="110" spans="1:34" x14ac:dyDescent="0.25">
      <c r="A110" t="s">
        <v>30</v>
      </c>
      <c r="B110">
        <v>1</v>
      </c>
      <c r="C110">
        <f>MAX(Items[[#This Row],[Base Cycle Time]] / Items[[#This Row],[Speed]], MinInsertionTime) / Items[[#This Row],[Quantity Per Cycle]] / Items[[#This Row],[Bonus]]</f>
        <v>0.8</v>
      </c>
      <c r="D110" s="39">
        <v>1</v>
      </c>
      <c r="E110" t="s">
        <v>59</v>
      </c>
      <c r="F110" s="39">
        <f>INDEX(CraftingTypes[Speed], MATCH(Items[[#This Row],[Producer Type]], CraftingTypes[Producer Type], 0))</f>
        <v>1.25</v>
      </c>
      <c r="G110" s="39">
        <f>INDEX(CraftingTypes[Bonus], MATCH(Items[[#This Row],[Producer Type]], CraftingTypes[Producer Type], 0)) + 1</f>
        <v>1</v>
      </c>
      <c r="H110" s="38">
        <f>1 / Items[[#This Row],[Cycle Time for One]]</f>
        <v>1.25</v>
      </c>
      <c r="I110" s="36" t="b">
        <f>IFERROR(OR(Items[[#This Row],[Name]] = SelectedName, INDEX(CraftingTypes[Include], MATCH(Items[[#This Row],[Producer Type]], CraftingTypes[Producer Type], 0))), FALSE)</f>
        <v>1</v>
      </c>
      <c r="J110" s="38">
        <f>IF(Items[[#This Row],[Name]] = SelectedName, 1, IF(NOT(Items[[#This Row],[Include]]), 0, SUMIFS(RecipeTotals.Quantity, RecipeTotals.Name, SelectedName, RecipeTotals.Component, Items[[#This Row],[Name]])))</f>
        <v>0</v>
      </c>
      <c r="K110" s="38">
        <f>IFERROR(Items[[#This Row],[Selected Count]] / CycleTime.Actual, "")</f>
        <v>0</v>
      </c>
      <c r="L110" s="38">
        <f>IFERROR(Items[[#This Row],[Selected Per Second]] / Items[[#This Row],[Per Second]], "")</f>
        <v>0</v>
      </c>
      <c r="M110" s="38">
        <f>IFERROR(Items[[#This Row],[Selected Per Second]] / Items[[#This Row],[Per Second]], "")</f>
        <v>0</v>
      </c>
      <c r="N110" s="38">
        <f>IFERROR(CEILING(Items[[#This Row],[Fractional Producers for Selected Count]], 1), 0)</f>
        <v>0</v>
      </c>
      <c r="O110" s="38" t="str">
        <f>IF(AND(Items[[#This Row],[Producers For Selected Count]] &gt; 0, Items[[#This Row],[Include]]), ROW() - ROW(Items[#Headers]), "")</f>
        <v/>
      </c>
      <c r="P110" s="38" t="str">
        <f>IFERROR(SMALL(Items[Include Row Index], ROW() - ROW(Items[#Headers])), "")</f>
        <v/>
      </c>
      <c r="R110" t="s">
        <v>160</v>
      </c>
      <c r="S110" t="s">
        <v>23</v>
      </c>
      <c r="T110">
        <v>8</v>
      </c>
      <c r="U110" s="1" t="str">
        <f>IFERROR(IF(INDEX(Items[Selected Count], MATCH(Recipes[[#This Row],[Name]], Items[Name], 0)) &gt; 0, ROW() - ROW(Recipes[#Headers]), ""), "")</f>
        <v/>
      </c>
      <c r="V110" s="1" t="str">
        <f>IFERROR(SMALL(Recipes[Selected], ROW() - ROW(Recipes[#Headers])), "")</f>
        <v/>
      </c>
      <c r="W110" s="1" t="str">
        <f>IFERROR(INDEX(Recipes[Name], Recipes[[#This Row],[Selected Sorted]]), "")</f>
        <v/>
      </c>
      <c r="X110" s="1" t="str">
        <f>IFERROR(INDEX(Recipes[Component], Recipes[[#This Row],[Selected Sorted]]), "")</f>
        <v/>
      </c>
      <c r="Y110" s="1" t="str">
        <f>IFERROR(INDEX(Recipes[Quantity], Recipes[[#This Row],[Selected Sorted]]), "")</f>
        <v/>
      </c>
      <c r="AA110" t="s">
        <v>155</v>
      </c>
      <c r="AB110" t="s">
        <v>5</v>
      </c>
      <c r="AC110">
        <v>5</v>
      </c>
      <c r="AD110" s="1" t="str">
        <f>IFERROR(IF(INDEX(Items[Selected Count], MATCH(Recipes2[[#This Row],[Name]], Items[Name], 0)) &gt; 0, ROW() - ROW(Recipes2[#Headers]), ""), "")</f>
        <v/>
      </c>
      <c r="AE110" s="1" t="str">
        <f>IFERROR(SMALL(Recipes2[Selected], ROW() - ROW(Recipes2[#Headers])), "")</f>
        <v/>
      </c>
      <c r="AF110" s="1" t="str">
        <f>IFERROR(INDEX(Recipes2[Name], Recipes2[[#This Row],[Selected Sorted]]), "")</f>
        <v/>
      </c>
      <c r="AG110" s="1" t="str">
        <f>IFERROR(INDEX(Recipes2[Component], Recipes2[[#This Row],[Selected Sorted]]), "")</f>
        <v/>
      </c>
      <c r="AH110" s="1" t="str">
        <f>IFERROR(INDEX(Recipes2[Quantity], Recipes2[[#This Row],[Selected Sorted]]), "")</f>
        <v/>
      </c>
    </row>
    <row r="111" spans="1:34" x14ac:dyDescent="0.25">
      <c r="A111" t="s">
        <v>47</v>
      </c>
      <c r="B111">
        <v>0.5</v>
      </c>
      <c r="C111">
        <f>MAX(Items[[#This Row],[Base Cycle Time]] / Items[[#This Row],[Speed]], MinInsertionTime) / Items[[#This Row],[Quantity Per Cycle]] / Items[[#This Row],[Bonus]]</f>
        <v>0.4</v>
      </c>
      <c r="D111" s="39">
        <v>1</v>
      </c>
      <c r="E111" t="s">
        <v>59</v>
      </c>
      <c r="F111" s="39">
        <f>INDEX(CraftingTypes[Speed], MATCH(Items[[#This Row],[Producer Type]], CraftingTypes[Producer Type], 0))</f>
        <v>1.25</v>
      </c>
      <c r="G111" s="39">
        <f>INDEX(CraftingTypes[Bonus], MATCH(Items[[#This Row],[Producer Type]], CraftingTypes[Producer Type], 0)) + 1</f>
        <v>1</v>
      </c>
      <c r="H111" s="38">
        <f>1 / Items[[#This Row],[Cycle Time for One]]</f>
        <v>2.5</v>
      </c>
      <c r="I111" s="36" t="b">
        <f>IFERROR(OR(Items[[#This Row],[Name]] = SelectedName, INDEX(CraftingTypes[Include], MATCH(Items[[#This Row],[Producer Type]], CraftingTypes[Producer Type], 0))), FALSE)</f>
        <v>1</v>
      </c>
      <c r="J111" s="38">
        <f>IF(Items[[#This Row],[Name]] = SelectedName, 1, IF(NOT(Items[[#This Row],[Include]]), 0, SUMIFS(RecipeTotals.Quantity, RecipeTotals.Name, SelectedName, RecipeTotals.Component, Items[[#This Row],[Name]])))</f>
        <v>0</v>
      </c>
      <c r="K111" s="38">
        <f>IFERROR(Items[[#This Row],[Selected Count]] / CycleTime.Actual, "")</f>
        <v>0</v>
      </c>
      <c r="L111" s="38">
        <f>IFERROR(Items[[#This Row],[Selected Per Second]] / Items[[#This Row],[Per Second]], "")</f>
        <v>0</v>
      </c>
      <c r="M111" s="38">
        <f>IFERROR(Items[[#This Row],[Selected Per Second]] / Items[[#This Row],[Per Second]], "")</f>
        <v>0</v>
      </c>
      <c r="N111" s="38">
        <f>IFERROR(CEILING(Items[[#This Row],[Fractional Producers for Selected Count]], 1), 0)</f>
        <v>0</v>
      </c>
      <c r="O111" s="38" t="str">
        <f>IF(AND(Items[[#This Row],[Producers For Selected Count]] &gt; 0, Items[[#This Row],[Include]]), ROW() - ROW(Items[#Headers]), "")</f>
        <v/>
      </c>
      <c r="P111" s="38" t="str">
        <f>IFERROR(SMALL(Items[Include Row Index], ROW() - ROW(Items[#Headers])), "")</f>
        <v/>
      </c>
      <c r="R111" t="s">
        <v>160</v>
      </c>
      <c r="S111" t="s">
        <v>35</v>
      </c>
      <c r="T111">
        <v>16</v>
      </c>
      <c r="U111" s="1" t="str">
        <f>IFERROR(IF(INDEX(Items[Selected Count], MATCH(Recipes[[#This Row],[Name]], Items[Name], 0)) &gt; 0, ROW() - ROW(Recipes[#Headers]), ""), "")</f>
        <v/>
      </c>
      <c r="V111" s="1" t="str">
        <f>IFERROR(SMALL(Recipes[Selected], ROW() - ROW(Recipes[#Headers])), "")</f>
        <v/>
      </c>
      <c r="W111" s="1" t="str">
        <f>IFERROR(INDEX(Recipes[Name], Recipes[[#This Row],[Selected Sorted]]), "")</f>
        <v/>
      </c>
      <c r="X111" s="1" t="str">
        <f>IFERROR(INDEX(Recipes[Component], Recipes[[#This Row],[Selected Sorted]]), "")</f>
        <v/>
      </c>
      <c r="Y111" s="1" t="str">
        <f>IFERROR(INDEX(Recipes[Quantity], Recipes[[#This Row],[Selected Sorted]]), "")</f>
        <v/>
      </c>
      <c r="AA111" t="s">
        <v>161</v>
      </c>
      <c r="AB111" t="s">
        <v>53</v>
      </c>
      <c r="AC111">
        <v>8</v>
      </c>
      <c r="AD111" s="1" t="str">
        <f>IFERROR(IF(INDEX(Items[Selected Count], MATCH(Recipes2[[#This Row],[Name]], Items[Name], 0)) &gt; 0, ROW() - ROW(Recipes2[#Headers]), ""), "")</f>
        <v/>
      </c>
      <c r="AE111" s="1" t="str">
        <f>IFERROR(SMALL(Recipes2[Selected], ROW() - ROW(Recipes2[#Headers])), "")</f>
        <v/>
      </c>
      <c r="AF111" s="1" t="str">
        <f>IFERROR(INDEX(Recipes2[Name], Recipes2[[#This Row],[Selected Sorted]]), "")</f>
        <v/>
      </c>
      <c r="AG111" s="1" t="str">
        <f>IFERROR(INDEX(Recipes2[Component], Recipes2[[#This Row],[Selected Sorted]]), "")</f>
        <v/>
      </c>
      <c r="AH111" s="1" t="str">
        <f>IFERROR(INDEX(Recipes2[Quantity], Recipes2[[#This Row],[Selected Sorted]]), "")</f>
        <v/>
      </c>
    </row>
    <row r="112" spans="1:34" x14ac:dyDescent="0.25">
      <c r="A112" t="s">
        <v>46</v>
      </c>
      <c r="B112">
        <v>0.5</v>
      </c>
      <c r="C112">
        <f>MAX(Items[[#This Row],[Base Cycle Time]] / Items[[#This Row],[Speed]], MinInsertionTime) / Items[[#This Row],[Quantity Per Cycle]] / Items[[#This Row],[Bonus]]</f>
        <v>0.4</v>
      </c>
      <c r="D112" s="39">
        <v>1</v>
      </c>
      <c r="E112" t="s">
        <v>59</v>
      </c>
      <c r="F112" s="39">
        <f>INDEX(CraftingTypes[Speed], MATCH(Items[[#This Row],[Producer Type]], CraftingTypes[Producer Type], 0))</f>
        <v>1.25</v>
      </c>
      <c r="G112" s="39">
        <f>INDEX(CraftingTypes[Bonus], MATCH(Items[[#This Row],[Producer Type]], CraftingTypes[Producer Type], 0)) + 1</f>
        <v>1</v>
      </c>
      <c r="H112" s="38">
        <f>1 / Items[[#This Row],[Cycle Time for One]]</f>
        <v>2.5</v>
      </c>
      <c r="I112" s="36" t="b">
        <f>IFERROR(OR(Items[[#This Row],[Name]] = SelectedName, INDEX(CraftingTypes[Include], MATCH(Items[[#This Row],[Producer Type]], CraftingTypes[Producer Type], 0))), FALSE)</f>
        <v>1</v>
      </c>
      <c r="J112" s="38">
        <f>IF(Items[[#This Row],[Name]] = SelectedName, 1, IF(NOT(Items[[#This Row],[Include]]), 0, SUMIFS(RecipeTotals.Quantity, RecipeTotals.Name, SelectedName, RecipeTotals.Component, Items[[#This Row],[Name]])))</f>
        <v>0</v>
      </c>
      <c r="K112" s="38">
        <f>IFERROR(Items[[#This Row],[Selected Count]] / CycleTime.Actual, "")</f>
        <v>0</v>
      </c>
      <c r="L112" s="38">
        <f>IFERROR(Items[[#This Row],[Selected Per Second]] / Items[[#This Row],[Per Second]], "")</f>
        <v>0</v>
      </c>
      <c r="M112" s="38">
        <f>IFERROR(Items[[#This Row],[Selected Per Second]] / Items[[#This Row],[Per Second]], "")</f>
        <v>0</v>
      </c>
      <c r="N112" s="38">
        <f>IFERROR(CEILING(Items[[#This Row],[Fractional Producers for Selected Count]], 1), 0)</f>
        <v>0</v>
      </c>
      <c r="O112" s="38" t="str">
        <f>IF(AND(Items[[#This Row],[Producers For Selected Count]] &gt; 0, Items[[#This Row],[Include]]), ROW() - ROW(Items[#Headers]), "")</f>
        <v/>
      </c>
      <c r="P112" s="38" t="str">
        <f>IFERROR(SMALL(Items[Include Row Index], ROW() - ROW(Items[#Headers])), "")</f>
        <v/>
      </c>
      <c r="R112" t="s">
        <v>160</v>
      </c>
      <c r="S112" t="s">
        <v>108</v>
      </c>
      <c r="T112">
        <v>3</v>
      </c>
      <c r="U112" s="1" t="str">
        <f>IFERROR(IF(INDEX(Items[Selected Count], MATCH(Recipes[[#This Row],[Name]], Items[Name], 0)) &gt; 0, ROW() - ROW(Recipes[#Headers]), ""), "")</f>
        <v/>
      </c>
      <c r="V112" s="1" t="str">
        <f>IFERROR(SMALL(Recipes[Selected], ROW() - ROW(Recipes[#Headers])), "")</f>
        <v/>
      </c>
      <c r="W112" s="1" t="str">
        <f>IFERROR(INDEX(Recipes[Name], Recipes[[#This Row],[Selected Sorted]]), "")</f>
        <v/>
      </c>
      <c r="X112" s="1" t="str">
        <f>IFERROR(INDEX(Recipes[Component], Recipes[[#This Row],[Selected Sorted]]), "")</f>
        <v/>
      </c>
      <c r="Y112" s="1" t="str">
        <f>IFERROR(INDEX(Recipes[Quantity], Recipes[[#This Row],[Selected Sorted]]), "")</f>
        <v/>
      </c>
      <c r="AA112" t="s">
        <v>54</v>
      </c>
      <c r="AB112" t="s">
        <v>53</v>
      </c>
      <c r="AC112">
        <v>1</v>
      </c>
      <c r="AD112" t="str">
        <f>IFERROR(IF(INDEX(Items[Selected Count], MATCH(Recipes2[[#This Row],[Name]], Items[Name], 0)) &gt; 0, ROW() - ROW(Recipes2[#Headers]), ""), "")</f>
        <v/>
      </c>
      <c r="AE112" t="str">
        <f>IFERROR(SMALL(Recipes2[Selected], ROW() - ROW(Recipes2[#Headers])), "")</f>
        <v/>
      </c>
      <c r="AF112" t="str">
        <f>IFERROR(INDEX(Recipes2[Name], Recipes2[[#This Row],[Selected Sorted]]), "")</f>
        <v/>
      </c>
      <c r="AG112" t="str">
        <f>IFERROR(INDEX(Recipes2[Component], Recipes2[[#This Row],[Selected Sorted]]), "")</f>
        <v/>
      </c>
      <c r="AH112" s="1" t="str">
        <f>IFERROR(INDEX(Recipes2[Quantity], Recipes2[[#This Row],[Selected Sorted]]), "")</f>
        <v/>
      </c>
    </row>
    <row r="113" spans="1:34" x14ac:dyDescent="0.25">
      <c r="A113" t="s">
        <v>22</v>
      </c>
      <c r="B113">
        <v>0.5</v>
      </c>
      <c r="C113">
        <f>MAX(Items[[#This Row],[Base Cycle Time]] / Items[[#This Row],[Speed]], MinInsertionTime) / Items[[#This Row],[Quantity Per Cycle]] / Items[[#This Row],[Bonus]]</f>
        <v>0.4</v>
      </c>
      <c r="D113" s="39">
        <v>1</v>
      </c>
      <c r="E113" t="s">
        <v>59</v>
      </c>
      <c r="F113" s="39">
        <f>INDEX(CraftingTypes[Speed], MATCH(Items[[#This Row],[Producer Type]], CraftingTypes[Producer Type], 0))</f>
        <v>1.25</v>
      </c>
      <c r="G113" s="39">
        <f>INDEX(CraftingTypes[Bonus], MATCH(Items[[#This Row],[Producer Type]], CraftingTypes[Producer Type], 0)) + 1</f>
        <v>1</v>
      </c>
      <c r="H113" s="38">
        <f>1 / Items[[#This Row],[Cycle Time for One]]</f>
        <v>2.5</v>
      </c>
      <c r="I113" s="36" t="b">
        <f>IFERROR(OR(Items[[#This Row],[Name]] = SelectedName, INDEX(CraftingTypes[Include], MATCH(Items[[#This Row],[Producer Type]], CraftingTypes[Producer Type], 0))), FALSE)</f>
        <v>1</v>
      </c>
      <c r="J113" s="38">
        <f>IF(Items[[#This Row],[Name]] = SelectedName, 1, IF(NOT(Items[[#This Row],[Include]]), 0, SUMIFS(RecipeTotals.Quantity, RecipeTotals.Name, SelectedName, RecipeTotals.Component, Items[[#This Row],[Name]])))</f>
        <v>0</v>
      </c>
      <c r="K113" s="38">
        <f>IFERROR(Items[[#This Row],[Selected Count]] / CycleTime.Actual, "")</f>
        <v>0</v>
      </c>
      <c r="L113" s="38">
        <f>IFERROR(Items[[#This Row],[Selected Per Second]] / Items[[#This Row],[Per Second]], "")</f>
        <v>0</v>
      </c>
      <c r="M113" s="38">
        <f>IFERROR(Items[[#This Row],[Selected Per Second]] / Items[[#This Row],[Per Second]], "")</f>
        <v>0</v>
      </c>
      <c r="N113" s="38">
        <f>IFERROR(CEILING(Items[[#This Row],[Fractional Producers for Selected Count]], 1), 0)</f>
        <v>0</v>
      </c>
      <c r="O113" s="38" t="str">
        <f>IF(AND(Items[[#This Row],[Producers For Selected Count]] &gt; 0, Items[[#This Row],[Include]]), ROW() - ROW(Items[#Headers]), "")</f>
        <v/>
      </c>
      <c r="P113" s="38" t="str">
        <f>IFERROR(SMALL(Items[Include Row Index], ROW() - ROW(Items[#Headers])), "")</f>
        <v/>
      </c>
      <c r="R113" t="s">
        <v>55</v>
      </c>
      <c r="S113" t="s">
        <v>52</v>
      </c>
      <c r="T113">
        <v>2</v>
      </c>
      <c r="U113" t="str">
        <f>IFERROR(IF(INDEX(Items[Selected Count], MATCH(Recipes[[#This Row],[Name]], Items[Name], 0)) &gt; 0, ROW() - ROW(Recipes[#Headers]), ""), "")</f>
        <v/>
      </c>
      <c r="V113" t="str">
        <f>IFERROR(SMALL(Recipes[Selected], ROW() - ROW(Recipes[#Headers])), "")</f>
        <v/>
      </c>
      <c r="W113" t="str">
        <f>IFERROR(INDEX(Recipes[Name], Recipes[[#This Row],[Selected Sorted]]), "")</f>
        <v/>
      </c>
      <c r="X113" t="str">
        <f>IFERROR(INDEX(Recipes[Component], Recipes[[#This Row],[Selected Sorted]]), "")</f>
        <v/>
      </c>
      <c r="Y113" s="1" t="str">
        <f>IFERROR(INDEX(Recipes[Quantity], Recipes[[#This Row],[Selected Sorted]]), "")</f>
        <v/>
      </c>
      <c r="AA113" t="s">
        <v>158</v>
      </c>
      <c r="AB113" t="s">
        <v>53</v>
      </c>
      <c r="AC113">
        <v>20</v>
      </c>
      <c r="AD113" s="1" t="str">
        <f>IFERROR(IF(INDEX(Items[Selected Count], MATCH(Recipes2[[#This Row],[Name]], Items[Name], 0)) &gt; 0, ROW() - ROW(Recipes2[#Headers]), ""), "")</f>
        <v/>
      </c>
      <c r="AE113" s="1" t="str">
        <f>IFERROR(SMALL(Recipes2[Selected], ROW() - ROW(Recipes2[#Headers])), "")</f>
        <v/>
      </c>
      <c r="AF113" s="1" t="str">
        <f>IFERROR(INDEX(Recipes2[Name], Recipes2[[#This Row],[Selected Sorted]]), "")</f>
        <v/>
      </c>
      <c r="AG113" s="1" t="str">
        <f>IFERROR(INDEX(Recipes2[Component], Recipes2[[#This Row],[Selected Sorted]]), "")</f>
        <v/>
      </c>
      <c r="AH113" s="1" t="str">
        <f>IFERROR(INDEX(Recipes2[Quantity], Recipes2[[#This Row],[Selected Sorted]]), "")</f>
        <v/>
      </c>
    </row>
    <row r="114" spans="1:34" x14ac:dyDescent="0.25">
      <c r="A114" t="s">
        <v>144</v>
      </c>
      <c r="B114">
        <v>0.5</v>
      </c>
      <c r="C114" s="1">
        <f>MAX(Items[[#This Row],[Base Cycle Time]] / Items[[#This Row],[Speed]], MinInsertionTime) / Items[[#This Row],[Quantity Per Cycle]] / Items[[#This Row],[Bonus]]</f>
        <v>0.4</v>
      </c>
      <c r="D114" s="39">
        <v>1</v>
      </c>
      <c r="E114" t="s">
        <v>59</v>
      </c>
      <c r="F114" s="38">
        <f>INDEX(CraftingTypes[Speed], MATCH(Items[[#This Row],[Producer Type]], CraftingTypes[Producer Type], 0))</f>
        <v>1.25</v>
      </c>
      <c r="G114" s="38">
        <f>INDEX(CraftingTypes[Bonus], MATCH(Items[[#This Row],[Producer Type]], CraftingTypes[Producer Type], 0)) + 1</f>
        <v>1</v>
      </c>
      <c r="H114" s="38">
        <f>1 / Items[[#This Row],[Cycle Time for One]]</f>
        <v>2.5</v>
      </c>
      <c r="I114" s="36" t="b">
        <f>IFERROR(OR(Items[[#This Row],[Name]] = SelectedName, INDEX(CraftingTypes[Include], MATCH(Items[[#This Row],[Producer Type]], CraftingTypes[Producer Type], 0))), FALSE)</f>
        <v>1</v>
      </c>
      <c r="J114" s="38">
        <f>IF(Items[[#This Row],[Name]] = SelectedName, 1, IF(NOT(Items[[#This Row],[Include]]), 0, SUMIFS(RecipeTotals.Quantity, RecipeTotals.Name, SelectedName, RecipeTotals.Component, Items[[#This Row],[Name]])))</f>
        <v>0</v>
      </c>
      <c r="K114" s="38">
        <f>IFERROR(Items[[#This Row],[Selected Count]] / CycleTime.Actual, "")</f>
        <v>0</v>
      </c>
      <c r="L114" s="38">
        <f>IFERROR(Items[[#This Row],[Selected Per Second]] / Items[[#This Row],[Per Second]], "")</f>
        <v>0</v>
      </c>
      <c r="M114" s="38">
        <f>IFERROR(Items[[#This Row],[Selected Per Second]] / Items[[#This Row],[Per Second]], "")</f>
        <v>0</v>
      </c>
      <c r="N114" s="38">
        <f>IFERROR(CEILING(Items[[#This Row],[Fractional Producers for Selected Count]], 1), 0)</f>
        <v>0</v>
      </c>
      <c r="O114" s="38" t="str">
        <f>IF(AND(Items[[#This Row],[Producers For Selected Count]] &gt; 0, Items[[#This Row],[Include]]), ROW() - ROW(Items[#Headers]), "")</f>
        <v/>
      </c>
      <c r="P114" s="38" t="str">
        <f>IFERROR(SMALL(Items[Include Row Index], ROW() - ROW(Items[#Headers])), "")</f>
        <v/>
      </c>
      <c r="R114" t="s">
        <v>55</v>
      </c>
      <c r="S114" t="s">
        <v>54</v>
      </c>
      <c r="T114">
        <v>1</v>
      </c>
      <c r="U114" t="str">
        <f>IFERROR(IF(INDEX(Items[Selected Count], MATCH(Recipes[[#This Row],[Name]], Items[Name], 0)) &gt; 0, ROW() - ROW(Recipes[#Headers]), ""), "")</f>
        <v/>
      </c>
      <c r="V114" t="str">
        <f>IFERROR(SMALL(Recipes[Selected], ROW() - ROW(Recipes[#Headers])), "")</f>
        <v/>
      </c>
      <c r="W114" t="str">
        <f>IFERROR(INDEX(Recipes[Name], Recipes[[#This Row],[Selected Sorted]]), "")</f>
        <v/>
      </c>
      <c r="X114" t="str">
        <f>IFERROR(INDEX(Recipes[Component], Recipes[[#This Row],[Selected Sorted]]), "")</f>
        <v/>
      </c>
      <c r="Y114" s="1" t="str">
        <f>IFERROR(INDEX(Recipes[Quantity], Recipes[[#This Row],[Selected Sorted]]), "")</f>
        <v/>
      </c>
      <c r="AA114" t="s">
        <v>153</v>
      </c>
      <c r="AB114" t="s">
        <v>53</v>
      </c>
      <c r="AC114">
        <v>1</v>
      </c>
      <c r="AD114" s="1" t="str">
        <f>IFERROR(IF(INDEX(Items[Selected Count], MATCH(Recipes2[[#This Row],[Name]], Items[Name], 0)) &gt; 0, ROW() - ROW(Recipes2[#Headers]), ""), "")</f>
        <v/>
      </c>
      <c r="AE114" s="1" t="str">
        <f>IFERROR(SMALL(Recipes2[Selected], ROW() - ROW(Recipes2[#Headers])), "")</f>
        <v/>
      </c>
      <c r="AF114" s="1" t="str">
        <f>IFERROR(INDEX(Recipes2[Name], Recipes2[[#This Row],[Selected Sorted]]), "")</f>
        <v/>
      </c>
      <c r="AG114" s="1" t="str">
        <f>IFERROR(INDEX(Recipes2[Component], Recipes2[[#This Row],[Selected Sorted]]), "")</f>
        <v/>
      </c>
      <c r="AH114" s="1" t="str">
        <f>IFERROR(INDEX(Recipes2[Quantity], Recipes2[[#This Row],[Selected Sorted]]), "")</f>
        <v/>
      </c>
    </row>
    <row r="115" spans="1:34" x14ac:dyDescent="0.25">
      <c r="A115" t="s">
        <v>141</v>
      </c>
      <c r="B115">
        <v>0.5</v>
      </c>
      <c r="C115" s="1">
        <f>MAX(Items[[#This Row],[Base Cycle Time]] / Items[[#This Row],[Speed]], MinInsertionTime) / Items[[#This Row],[Quantity Per Cycle]] / Items[[#This Row],[Bonus]]</f>
        <v>0.4</v>
      </c>
      <c r="D115" s="39">
        <v>1</v>
      </c>
      <c r="E115" t="s">
        <v>59</v>
      </c>
      <c r="F115" s="38">
        <f>INDEX(CraftingTypes[Speed], MATCH(Items[[#This Row],[Producer Type]], CraftingTypes[Producer Type], 0))</f>
        <v>1.25</v>
      </c>
      <c r="G115" s="38">
        <f>INDEX(CraftingTypes[Bonus], MATCH(Items[[#This Row],[Producer Type]], CraftingTypes[Producer Type], 0)) + 1</f>
        <v>1</v>
      </c>
      <c r="H115" s="38">
        <f>1 / Items[[#This Row],[Cycle Time for One]]</f>
        <v>2.5</v>
      </c>
      <c r="I115" s="36" t="b">
        <f>IFERROR(OR(Items[[#This Row],[Name]] = SelectedName, INDEX(CraftingTypes[Include], MATCH(Items[[#This Row],[Producer Type]], CraftingTypes[Producer Type], 0))), FALSE)</f>
        <v>1</v>
      </c>
      <c r="J115" s="38">
        <f>IF(Items[[#This Row],[Name]] = SelectedName, 1, IF(NOT(Items[[#This Row],[Include]]), 0, SUMIFS(RecipeTotals.Quantity, RecipeTotals.Name, SelectedName, RecipeTotals.Component, Items[[#This Row],[Name]])))</f>
        <v>0</v>
      </c>
      <c r="K115" s="38">
        <f>IFERROR(Items[[#This Row],[Selected Count]] / CycleTime.Actual, "")</f>
        <v>0</v>
      </c>
      <c r="L115" s="38">
        <f>IFERROR(Items[[#This Row],[Selected Per Second]] / Items[[#This Row],[Per Second]], "")</f>
        <v>0</v>
      </c>
      <c r="M115" s="38">
        <f>IFERROR(Items[[#This Row],[Selected Per Second]] / Items[[#This Row],[Per Second]], "")</f>
        <v>0</v>
      </c>
      <c r="N115" s="38">
        <f>IFERROR(CEILING(Items[[#This Row],[Fractional Producers for Selected Count]], 1), 0)</f>
        <v>0</v>
      </c>
      <c r="O115" s="38" t="str">
        <f>IF(AND(Items[[#This Row],[Producers For Selected Count]] &gt; 0, Items[[#This Row],[Include]]), ROW() - ROW(Items[#Headers]), "")</f>
        <v/>
      </c>
      <c r="P115" s="38" t="str">
        <f>IFERROR(SMALL(Items[Include Row Index], ROW() - ROW(Items[#Headers])), "")</f>
        <v/>
      </c>
      <c r="R115" t="s">
        <v>55</v>
      </c>
      <c r="S115" t="s">
        <v>5</v>
      </c>
      <c r="T115">
        <v>3</v>
      </c>
      <c r="U115" t="str">
        <f>IFERROR(IF(INDEX(Items[Selected Count], MATCH(Recipes[[#This Row],[Name]], Items[Name], 0)) &gt; 0, ROW() - ROW(Recipes[#Headers]), ""), "")</f>
        <v/>
      </c>
      <c r="V115" t="str">
        <f>IFERROR(SMALL(Recipes[Selected], ROW() - ROW(Recipes[#Headers])), "")</f>
        <v/>
      </c>
      <c r="W115" t="str">
        <f>IFERROR(INDEX(Recipes[Name], Recipes[[#This Row],[Selected Sorted]]), "")</f>
        <v/>
      </c>
      <c r="X115" t="str">
        <f>IFERROR(INDEX(Recipes[Component], Recipes[[#This Row],[Selected Sorted]]), "")</f>
        <v/>
      </c>
      <c r="Y115" s="1" t="str">
        <f>IFERROR(INDEX(Recipes[Quantity], Recipes[[#This Row],[Selected Sorted]]), "")</f>
        <v/>
      </c>
      <c r="AA115" t="s">
        <v>50</v>
      </c>
      <c r="AB115" t="s">
        <v>53</v>
      </c>
      <c r="AC115">
        <v>1</v>
      </c>
      <c r="AD115" t="str">
        <f>IFERROR(IF(INDEX(Items[Selected Count], MATCH(Recipes2[[#This Row],[Name]], Items[Name], 0)) &gt; 0, ROW() - ROW(Recipes2[#Headers]), ""), "")</f>
        <v/>
      </c>
      <c r="AE115" t="str">
        <f>IFERROR(SMALL(Recipes2[Selected], ROW() - ROW(Recipes2[#Headers])), "")</f>
        <v/>
      </c>
      <c r="AF115" t="str">
        <f>IFERROR(INDEX(Recipes2[Name], Recipes2[[#This Row],[Selected Sorted]]), "")</f>
        <v/>
      </c>
      <c r="AG115" t="str">
        <f>IFERROR(INDEX(Recipes2[Component], Recipes2[[#This Row],[Selected Sorted]]), "")</f>
        <v/>
      </c>
      <c r="AH115" s="1" t="str">
        <f>IFERROR(INDEX(Recipes2[Quantity], Recipes2[[#This Row],[Selected Sorted]]), "")</f>
        <v/>
      </c>
    </row>
    <row r="116" spans="1:34" x14ac:dyDescent="0.25">
      <c r="A116" t="s">
        <v>107</v>
      </c>
      <c r="B116">
        <v>0.5</v>
      </c>
      <c r="C116">
        <f>MAX(Items[[#This Row],[Base Cycle Time]] / Items[[#This Row],[Speed]], MinInsertionTime) / Items[[#This Row],[Quantity Per Cycle]] / Items[[#This Row],[Bonus]]</f>
        <v>0.4</v>
      </c>
      <c r="D116" s="39">
        <v>1</v>
      </c>
      <c r="E116" t="s">
        <v>59</v>
      </c>
      <c r="F116" s="38">
        <f>INDEX(CraftingTypes[Speed], MATCH(Items[[#This Row],[Producer Type]], CraftingTypes[Producer Type], 0))</f>
        <v>1.25</v>
      </c>
      <c r="G116" s="38">
        <f>INDEX(CraftingTypes[Bonus], MATCH(Items[[#This Row],[Producer Type]], CraftingTypes[Producer Type], 0)) + 1</f>
        <v>1</v>
      </c>
      <c r="H116" s="38">
        <f>1 / Items[[#This Row],[Cycle Time for One]]</f>
        <v>2.5</v>
      </c>
      <c r="I116" s="36" t="b">
        <f>IFERROR(OR(Items[[#This Row],[Name]] = SelectedName, INDEX(CraftingTypes[Include], MATCH(Items[[#This Row],[Producer Type]], CraftingTypes[Producer Type], 0))), FALSE)</f>
        <v>1</v>
      </c>
      <c r="J116" s="38">
        <f>IF(Items[[#This Row],[Name]] = SelectedName, 1, IF(NOT(Items[[#This Row],[Include]]), 0, SUMIFS(RecipeTotals.Quantity, RecipeTotals.Name, SelectedName, RecipeTotals.Component, Items[[#This Row],[Name]])))</f>
        <v>0</v>
      </c>
      <c r="K116" s="38">
        <f>IFERROR(Items[[#This Row],[Selected Count]] / CycleTime.Actual, "")</f>
        <v>0</v>
      </c>
      <c r="L116" s="38">
        <f>IFERROR(Items[[#This Row],[Selected Per Second]] / Items[[#This Row],[Per Second]], "")</f>
        <v>0</v>
      </c>
      <c r="M116" s="38">
        <f>IFERROR(Items[[#This Row],[Selected Per Second]] / Items[[#This Row],[Per Second]], "")</f>
        <v>0</v>
      </c>
      <c r="N116" s="38">
        <f>IFERROR(CEILING(Items[[#This Row],[Fractional Producers for Selected Count]], 1), 0)</f>
        <v>0</v>
      </c>
      <c r="O116" s="38" t="str">
        <f>IF(AND(Items[[#This Row],[Producers For Selected Count]] &gt; 0, Items[[#This Row],[Include]]), ROW() - ROW(Items[#Headers]), "")</f>
        <v/>
      </c>
      <c r="P116" s="38" t="str">
        <f>IFERROR(SMALL(Items[Include Row Index], ROW() - ROW(Items[#Headers])), "")</f>
        <v/>
      </c>
      <c r="R116" t="s">
        <v>55</v>
      </c>
      <c r="S116" t="s">
        <v>35</v>
      </c>
      <c r="T116">
        <v>1</v>
      </c>
      <c r="U116" t="str">
        <f>IFERROR(IF(INDEX(Items[Selected Count], MATCH(Recipes[[#This Row],[Name]], Items[Name], 0)) &gt; 0, ROW() - ROW(Recipes[#Headers]), ""), "")</f>
        <v/>
      </c>
      <c r="V116" t="str">
        <f>IFERROR(SMALL(Recipes[Selected], ROW() - ROW(Recipes[#Headers])), "")</f>
        <v/>
      </c>
      <c r="W116" t="str">
        <f>IFERROR(INDEX(Recipes[Name], Recipes[[#This Row],[Selected Sorted]]), "")</f>
        <v/>
      </c>
      <c r="X116" t="str">
        <f>IFERROR(INDEX(Recipes[Component], Recipes[[#This Row],[Selected Sorted]]), "")</f>
        <v/>
      </c>
      <c r="Y116" s="1" t="str">
        <f>IFERROR(INDEX(Recipes[Quantity], Recipes[[#This Row],[Selected Sorted]]), "")</f>
        <v/>
      </c>
      <c r="AA116" t="s">
        <v>162</v>
      </c>
      <c r="AB116" t="s">
        <v>53</v>
      </c>
      <c r="AC116">
        <v>32</v>
      </c>
      <c r="AD116" s="1" t="str">
        <f>IFERROR(IF(INDEX(Items[Selected Count], MATCH(Recipes2[[#This Row],[Name]], Items[Name], 0)) &gt; 0, ROW() - ROW(Recipes2[#Headers]), ""), "")</f>
        <v/>
      </c>
      <c r="AE116" s="1" t="str">
        <f>IFERROR(SMALL(Recipes2[Selected], ROW() - ROW(Recipes2[#Headers])), "")</f>
        <v/>
      </c>
      <c r="AF116" s="1" t="str">
        <f>IFERROR(INDEX(Recipes2[Name], Recipes2[[#This Row],[Selected Sorted]]), "")</f>
        <v/>
      </c>
      <c r="AG116" s="1" t="str">
        <f>IFERROR(INDEX(Recipes2[Component], Recipes2[[#This Row],[Selected Sorted]]), "")</f>
        <v/>
      </c>
      <c r="AH116" s="1" t="str">
        <f>IFERROR(INDEX(Recipes2[Quantity], Recipes2[[#This Row],[Selected Sorted]]), "")</f>
        <v/>
      </c>
    </row>
    <row r="117" spans="1:34" x14ac:dyDescent="0.25">
      <c r="A117" t="s">
        <v>99</v>
      </c>
      <c r="B117">
        <v>3</v>
      </c>
      <c r="C117" s="1">
        <f>MAX(Items[[#This Row],[Base Cycle Time]] / Items[[#This Row],[Speed]], MinInsertionTime) / Items[[#This Row],[Quantity Per Cycle]] / Items[[#This Row],[Bonus]]</f>
        <v>2.4</v>
      </c>
      <c r="D117" s="39">
        <v>1</v>
      </c>
      <c r="E117" t="s">
        <v>59</v>
      </c>
      <c r="F117" s="38">
        <f>INDEX(CraftingTypes[Speed], MATCH(Items[[#This Row],[Producer Type]], CraftingTypes[Producer Type], 0))</f>
        <v>1.25</v>
      </c>
      <c r="G117" s="38">
        <f>INDEX(CraftingTypes[Bonus], MATCH(Items[[#This Row],[Producer Type]], CraftingTypes[Producer Type], 0)) + 1</f>
        <v>1</v>
      </c>
      <c r="H117" s="38">
        <f>1 / Items[[#This Row],[Cycle Time for One]]</f>
        <v>0.41666666666666669</v>
      </c>
      <c r="I117" s="36" t="b">
        <f>IFERROR(OR(Items[[#This Row],[Name]] = SelectedName, INDEX(CraftingTypes[Include], MATCH(Items[[#This Row],[Producer Type]], CraftingTypes[Producer Type], 0))), FALSE)</f>
        <v>1</v>
      </c>
      <c r="J117" s="38">
        <f>IF(Items[[#This Row],[Name]] = SelectedName, 1, IF(NOT(Items[[#This Row],[Include]]), 0, SUMIFS(RecipeTotals.Quantity, RecipeTotals.Name, SelectedName, RecipeTotals.Component, Items[[#This Row],[Name]])))</f>
        <v>0</v>
      </c>
      <c r="K117" s="38">
        <f>IFERROR(Items[[#This Row],[Selected Count]] / CycleTime.Actual, "")</f>
        <v>0</v>
      </c>
      <c r="L117" s="38">
        <f>IFERROR(Items[[#This Row],[Selected Per Second]] / Items[[#This Row],[Per Second]], "")</f>
        <v>0</v>
      </c>
      <c r="M117" s="38">
        <f>IFERROR(Items[[#This Row],[Selected Per Second]] / Items[[#This Row],[Per Second]], "")</f>
        <v>0</v>
      </c>
      <c r="N117" s="38">
        <f>IFERROR(CEILING(Items[[#This Row],[Fractional Producers for Selected Count]], 1), 0)</f>
        <v>0</v>
      </c>
      <c r="O117" s="38" t="str">
        <f>IF(AND(Items[[#This Row],[Producers For Selected Count]] &gt; 0, Items[[#This Row],[Include]]), ROW() - ROW(Items[#Headers]), "")</f>
        <v/>
      </c>
      <c r="P117" s="38" t="str">
        <f>IFERROR(SMALL(Items[Include Row Index], ROW() - ROW(Items[#Headers])), "")</f>
        <v/>
      </c>
      <c r="R117" t="s">
        <v>37</v>
      </c>
      <c r="S117" t="s">
        <v>38</v>
      </c>
      <c r="T117">
        <v>10</v>
      </c>
      <c r="U117" t="str">
        <f>IFERROR(IF(INDEX(Items[Selected Count], MATCH(Recipes[[#This Row],[Name]], Items[Name], 0)) &gt; 0, ROW() - ROW(Recipes[#Headers]), ""), "")</f>
        <v/>
      </c>
      <c r="V117" t="str">
        <f>IFERROR(SMALL(Recipes[Selected], ROW() - ROW(Recipes[#Headers])), "")</f>
        <v/>
      </c>
      <c r="W117" t="str">
        <f>IFERROR(INDEX(Recipes[Name], Recipes[[#This Row],[Selected Sorted]]), "")</f>
        <v/>
      </c>
      <c r="X117" t="str">
        <f>IFERROR(INDEX(Recipes[Component], Recipes[[#This Row],[Selected Sorted]]), "")</f>
        <v/>
      </c>
      <c r="Y117" s="1" t="str">
        <f>IFERROR(INDEX(Recipes[Quantity], Recipes[[#This Row],[Selected Sorted]]), "")</f>
        <v/>
      </c>
      <c r="AA117" t="s">
        <v>45</v>
      </c>
      <c r="AB117" t="s">
        <v>44</v>
      </c>
      <c r="AC117">
        <v>1</v>
      </c>
      <c r="AD117" t="str">
        <f>IFERROR(IF(INDEX(Items[Selected Count], MATCH(Recipes2[[#This Row],[Name]], Items[Name], 0)) &gt; 0, ROW() - ROW(Recipes2[#Headers]), ""), "")</f>
        <v/>
      </c>
      <c r="AE117" t="str">
        <f>IFERROR(SMALL(Recipes2[Selected], ROW() - ROW(Recipes2[#Headers])), "")</f>
        <v/>
      </c>
      <c r="AF117" t="str">
        <f>IFERROR(INDEX(Recipes2[Name], Recipes2[[#This Row],[Selected Sorted]]), "")</f>
        <v/>
      </c>
      <c r="AG117" t="str">
        <f>IFERROR(INDEX(Recipes2[Component], Recipes2[[#This Row],[Selected Sorted]]), "")</f>
        <v/>
      </c>
      <c r="AH117" s="1" t="str">
        <f>IFERROR(INDEX(Recipes2[Quantity], Recipes2[[#This Row],[Selected Sorted]]), "")</f>
        <v/>
      </c>
    </row>
    <row r="118" spans="1:34" x14ac:dyDescent="0.25">
      <c r="A118" t="s">
        <v>35</v>
      </c>
      <c r="B118">
        <v>17.5</v>
      </c>
      <c r="C118">
        <f>MAX(Items[[#This Row],[Base Cycle Time]] / Items[[#This Row],[Speed]], MinInsertionTime) / Items[[#This Row],[Quantity Per Cycle]] / Items[[#This Row],[Bonus]]</f>
        <v>2.9166666666666665</v>
      </c>
      <c r="D118" s="39">
        <v>1</v>
      </c>
      <c r="E118" t="s">
        <v>61</v>
      </c>
      <c r="F118" s="39">
        <f>INDEX(CraftingTypes[Speed], MATCH(Items[[#This Row],[Producer Type]], CraftingTypes[Producer Type], 0))</f>
        <v>6</v>
      </c>
      <c r="G118" s="39">
        <f>INDEX(CraftingTypes[Bonus], MATCH(Items[[#This Row],[Producer Type]], CraftingTypes[Producer Type], 0)) + 1</f>
        <v>1</v>
      </c>
      <c r="H118" s="38">
        <f>1 / Items[[#This Row],[Cycle Time for One]]</f>
        <v>0.34285714285714286</v>
      </c>
      <c r="I118" s="36" t="b">
        <f>IFERROR(OR(Items[[#This Row],[Name]] = SelectedName, INDEX(CraftingTypes[Include], MATCH(Items[[#This Row],[Producer Type]], CraftingTypes[Producer Type], 0))), FALSE)</f>
        <v>1</v>
      </c>
      <c r="J118" s="38">
        <f>IF(Items[[#This Row],[Name]] = SelectedName, 1, IF(NOT(Items[[#This Row],[Include]]), 0, SUMIFS(RecipeTotals.Quantity, RecipeTotals.Name, SelectedName, RecipeTotals.Component, Items[[#This Row],[Name]])))</f>
        <v>0</v>
      </c>
      <c r="K118" s="38">
        <f>IFERROR(Items[[#This Row],[Selected Count]] / CycleTime.Actual, "")</f>
        <v>0</v>
      </c>
      <c r="L118" s="38">
        <f>IFERROR(Items[[#This Row],[Selected Per Second]] / Items[[#This Row],[Per Second]], "")</f>
        <v>0</v>
      </c>
      <c r="M118" s="38">
        <f>IFERROR(Items[[#This Row],[Selected Per Second]] / Items[[#This Row],[Per Second]], "")</f>
        <v>0</v>
      </c>
      <c r="N118" s="38">
        <f>IFERROR(CEILING(Items[[#This Row],[Fractional Producers for Selected Count]], 1), 0)</f>
        <v>0</v>
      </c>
      <c r="O118" s="38" t="str">
        <f>IF(AND(Items[[#This Row],[Producers For Selected Count]] &gt; 0, Items[[#This Row],[Include]]), ROW() - ROW(Items[#Headers]), "")</f>
        <v/>
      </c>
      <c r="P118" s="38" t="str">
        <f>IFERROR(SMALL(Items[Include Row Index], ROW() - ROW(Items[#Headers])), "")</f>
        <v/>
      </c>
      <c r="R118" t="s">
        <v>37</v>
      </c>
      <c r="S118" t="s">
        <v>2</v>
      </c>
      <c r="T118">
        <v>5</v>
      </c>
      <c r="U118" t="str">
        <f>IFERROR(IF(INDEX(Items[Selected Count], MATCH(Recipes[[#This Row],[Name]], Items[Name], 0)) &gt; 0, ROW() - ROW(Recipes[#Headers]), ""), "")</f>
        <v/>
      </c>
      <c r="V118" t="str">
        <f>IFERROR(SMALL(Recipes[Selected], ROW() - ROW(Recipes[#Headers])), "")</f>
        <v/>
      </c>
      <c r="W118" t="str">
        <f>IFERROR(INDEX(Recipes[Name], Recipes[[#This Row],[Selected Sorted]]), "")</f>
        <v/>
      </c>
      <c r="X118" t="str">
        <f>IFERROR(INDEX(Recipes[Component], Recipes[[#This Row],[Selected Sorted]]), "")</f>
        <v/>
      </c>
      <c r="Y118" s="1" t="str">
        <f>IFERROR(INDEX(Recipes[Quantity], Recipes[[#This Row],[Selected Sorted]]), "")</f>
        <v/>
      </c>
      <c r="AA118" t="s">
        <v>46</v>
      </c>
      <c r="AB118" t="s">
        <v>44</v>
      </c>
      <c r="AC118">
        <v>1</v>
      </c>
      <c r="AD118" t="str">
        <f>IFERROR(IF(INDEX(Items[Selected Count], MATCH(Recipes2[[#This Row],[Name]], Items[Name], 0)) &gt; 0, ROW() - ROW(Recipes2[#Headers]), ""), "")</f>
        <v/>
      </c>
      <c r="AE118" t="str">
        <f>IFERROR(SMALL(Recipes2[Selected], ROW() - ROW(Recipes2[#Headers])), "")</f>
        <v/>
      </c>
      <c r="AF118" t="str">
        <f>IFERROR(INDEX(Recipes2[Name], Recipes2[[#This Row],[Selected Sorted]]), "")</f>
        <v/>
      </c>
      <c r="AG118" t="str">
        <f>IFERROR(INDEX(Recipes2[Component], Recipes2[[#This Row],[Selected Sorted]]), "")</f>
        <v/>
      </c>
      <c r="AH118" s="1" t="str">
        <f>IFERROR(INDEX(Recipes2[Quantity], Recipes2[[#This Row],[Selected Sorted]]), "")</f>
        <v/>
      </c>
    </row>
    <row r="119" spans="1:34" x14ac:dyDescent="0.25">
      <c r="A119" t="s">
        <v>84</v>
      </c>
      <c r="B119">
        <f>IF(MinerType = "Electric Mining Drill", 0.65, 0.3675)</f>
        <v>0.65</v>
      </c>
      <c r="C119">
        <f>MAX(Items[[#This Row],[Base Cycle Time]] / Items[[#This Row],[Speed]], MinInsertionTime) / Items[[#This Row],[Quantity Per Cycle]] / Items[[#This Row],[Bonus]]</f>
        <v>1.2380952380952381</v>
      </c>
      <c r="D119" s="39">
        <v>1</v>
      </c>
      <c r="E119" t="s">
        <v>194</v>
      </c>
      <c r="F119" s="39">
        <f>INDEX(CraftingTypes[Speed], MATCH(Items[[#This Row],[Producer Type]], CraftingTypes[Producer Type], 0))</f>
        <v>0.52500000000000002</v>
      </c>
      <c r="G119" s="39">
        <f>INDEX(CraftingTypes[Bonus], MATCH(Items[[#This Row],[Producer Type]], CraftingTypes[Producer Type], 0)) + 1</f>
        <v>1</v>
      </c>
      <c r="H119" s="38">
        <f>1 / Items[[#This Row],[Cycle Time for One]]</f>
        <v>0.80769230769230771</v>
      </c>
      <c r="I119" s="36" t="b">
        <f>IFERROR(OR(Items[[#This Row],[Name]] = SelectedName, INDEX(CraftingTypes[Include], MATCH(Items[[#This Row],[Producer Type]], CraftingTypes[Producer Type], 0))), FALSE)</f>
        <v>1</v>
      </c>
      <c r="J119" s="38">
        <f>IF(Items[[#This Row],[Name]] = SelectedName, 1, IF(NOT(Items[[#This Row],[Include]]), 0, SUMIFS(RecipeTotals.Quantity, RecipeTotals.Name, SelectedName, RecipeTotals.Component, Items[[#This Row],[Name]])))</f>
        <v>0</v>
      </c>
      <c r="K119" s="38">
        <f>IFERROR(Items[[#This Row],[Selected Count]] / CycleTime.Actual, "")</f>
        <v>0</v>
      </c>
      <c r="L119" s="38">
        <f>IFERROR(Items[[#This Row],[Selected Per Second]] / Items[[#This Row],[Per Second]], "")</f>
        <v>0</v>
      </c>
      <c r="M119" s="38">
        <f>IFERROR(Items[[#This Row],[Selected Per Second]] / Items[[#This Row],[Per Second]], "")</f>
        <v>0</v>
      </c>
      <c r="N119" s="38">
        <f>IFERROR(CEILING(Items[[#This Row],[Fractional Producers for Selected Count]], 1), 0)</f>
        <v>0</v>
      </c>
      <c r="O119" s="38" t="str">
        <f>IF(AND(Items[[#This Row],[Producers For Selected Count]] &gt; 0, Items[[#This Row],[Include]]), ROW() - ROW(Items[#Headers]), "")</f>
        <v/>
      </c>
      <c r="P119" s="38" t="str">
        <f>IFERROR(SMALL(Items[Include Row Index], ROW() - ROW(Items[#Headers])), "")</f>
        <v/>
      </c>
      <c r="R119" t="s">
        <v>36</v>
      </c>
      <c r="S119" t="s">
        <v>4</v>
      </c>
      <c r="T119">
        <v>10</v>
      </c>
      <c r="U119" t="str">
        <f>IFERROR(IF(INDEX(Items[Selected Count], MATCH(Recipes[[#This Row],[Name]], Items[Name], 0)) &gt; 0, ROW() - ROW(Recipes[#Headers]), ""), "")</f>
        <v/>
      </c>
      <c r="V119" t="str">
        <f>IFERROR(SMALL(Recipes[Selected], ROW() - ROW(Recipes[#Headers])), "")</f>
        <v/>
      </c>
      <c r="W119" t="str">
        <f>IFERROR(INDEX(Recipes[Name], Recipes[[#This Row],[Selected Sorted]]), "")</f>
        <v/>
      </c>
      <c r="X119" t="str">
        <f>IFERROR(INDEX(Recipes[Component], Recipes[[#This Row],[Selected Sorted]]), "")</f>
        <v/>
      </c>
      <c r="Y119" s="1" t="str">
        <f>IFERROR(INDEX(Recipes[Quantity], Recipes[[#This Row],[Selected Sorted]]), "")</f>
        <v/>
      </c>
      <c r="AA119" t="s">
        <v>32</v>
      </c>
      <c r="AB119" t="s">
        <v>31</v>
      </c>
      <c r="AC119">
        <v>1</v>
      </c>
      <c r="AD119" t="str">
        <f>IFERROR(IF(INDEX(Items[Selected Count], MATCH(Recipes2[[#This Row],[Name]], Items[Name], 0)) &gt; 0, ROW() - ROW(Recipes2[#Headers]), ""), "")</f>
        <v/>
      </c>
      <c r="AE119" t="str">
        <f>IFERROR(SMALL(Recipes2[Selected], ROW() - ROW(Recipes2[#Headers])), "")</f>
        <v/>
      </c>
      <c r="AF119" t="str">
        <f>IFERROR(INDEX(Recipes2[Name], Recipes2[[#This Row],[Selected Sorted]]), "")</f>
        <v/>
      </c>
      <c r="AG119" t="str">
        <f>IFERROR(INDEX(Recipes2[Component], Recipes2[[#This Row],[Selected Sorted]]), "")</f>
        <v/>
      </c>
      <c r="AH119" s="1" t="str">
        <f>IFERROR(INDEX(Recipes2[Quantity], Recipes2[[#This Row],[Selected Sorted]]), "")</f>
        <v/>
      </c>
    </row>
    <row r="120" spans="1:34" x14ac:dyDescent="0.25">
      <c r="A120" t="s">
        <v>83</v>
      </c>
      <c r="B120">
        <v>3.5</v>
      </c>
      <c r="C120">
        <f>MAX(Items[[#This Row],[Base Cycle Time]] / Items[[#This Row],[Speed]], MinInsertionTime) / Items[[#This Row],[Quantity Per Cycle]] / Items[[#This Row],[Bonus]]</f>
        <v>0.58333333333333337</v>
      </c>
      <c r="D120" s="39">
        <v>1</v>
      </c>
      <c r="E120" t="s">
        <v>61</v>
      </c>
      <c r="F120" s="39">
        <f>INDEX(CraftingTypes[Speed], MATCH(Items[[#This Row],[Producer Type]], CraftingTypes[Producer Type], 0))</f>
        <v>6</v>
      </c>
      <c r="G120" s="39">
        <f>INDEX(CraftingTypes[Bonus], MATCH(Items[[#This Row],[Producer Type]], CraftingTypes[Producer Type], 0)) + 1</f>
        <v>1</v>
      </c>
      <c r="H120" s="38">
        <f>1 / Items[[#This Row],[Cycle Time for One]]</f>
        <v>1.7142857142857142</v>
      </c>
      <c r="I120" s="36" t="b">
        <f>IFERROR(OR(Items[[#This Row],[Name]] = SelectedName, INDEX(CraftingTypes[Include], MATCH(Items[[#This Row],[Producer Type]], CraftingTypes[Producer Type], 0))), FALSE)</f>
        <v>1</v>
      </c>
      <c r="J120" s="38">
        <f>IF(Items[[#This Row],[Name]] = SelectedName, 1, IF(NOT(Items[[#This Row],[Include]]), 0, SUMIFS(RecipeTotals.Quantity, RecipeTotals.Name, SelectedName, RecipeTotals.Component, Items[[#This Row],[Name]])))</f>
        <v>0</v>
      </c>
      <c r="K120" s="38">
        <f>IFERROR(Items[[#This Row],[Selected Count]] / CycleTime.Actual, "")</f>
        <v>0</v>
      </c>
      <c r="L120" s="38">
        <f>IFERROR(Items[[#This Row],[Selected Per Second]] / Items[[#This Row],[Per Second]], "")</f>
        <v>0</v>
      </c>
      <c r="M120" s="38">
        <f>IFERROR(Items[[#This Row],[Selected Per Second]] / Items[[#This Row],[Per Second]], "")</f>
        <v>0</v>
      </c>
      <c r="N120" s="38">
        <f>IFERROR(CEILING(Items[[#This Row],[Fractional Producers for Selected Count]], 1), 0)</f>
        <v>0</v>
      </c>
      <c r="O120" s="38" t="str">
        <f>IF(AND(Items[[#This Row],[Producers For Selected Count]] &gt; 0, Items[[#This Row],[Include]]), ROW() - ROW(Items[#Headers]), "")</f>
        <v/>
      </c>
      <c r="P120" s="38" t="str">
        <f>IFERROR(SMALL(Items[Include Row Index], ROW() - ROW(Items[#Headers])), "")</f>
        <v/>
      </c>
      <c r="R120" t="s">
        <v>36</v>
      </c>
      <c r="S120" t="s">
        <v>8</v>
      </c>
      <c r="T120">
        <v>10</v>
      </c>
      <c r="U120" t="str">
        <f>IFERROR(IF(INDEX(Items[Selected Count], MATCH(Recipes[[#This Row],[Name]], Items[Name], 0)) &gt; 0, ROW() - ROW(Recipes[#Headers]), ""), "")</f>
        <v/>
      </c>
      <c r="V120" t="str">
        <f>IFERROR(SMALL(Recipes[Selected], ROW() - ROW(Recipes[#Headers])), "")</f>
        <v/>
      </c>
      <c r="W120" t="str">
        <f>IFERROR(INDEX(Recipes[Name], Recipes[[#This Row],[Selected Sorted]]), "")</f>
        <v/>
      </c>
      <c r="X120" t="str">
        <f>IFERROR(INDEX(Recipes[Component], Recipes[[#This Row],[Selected Sorted]]), "")</f>
        <v/>
      </c>
      <c r="Y120" s="1" t="str">
        <f>IFERROR(INDEX(Recipes[Quantity], Recipes[[#This Row],[Selected Sorted]]), "")</f>
        <v/>
      </c>
      <c r="AA120" t="s">
        <v>26</v>
      </c>
      <c r="AB120" t="s">
        <v>25</v>
      </c>
      <c r="AC120">
        <v>1</v>
      </c>
      <c r="AD120" t="str">
        <f>IFERROR(IF(INDEX(Items[Selected Count], MATCH(Recipes2[[#This Row],[Name]], Items[Name], 0)) &gt; 0, ROW() - ROW(Recipes2[#Headers]), ""), "")</f>
        <v/>
      </c>
      <c r="AE120" t="str">
        <f>IFERROR(SMALL(Recipes2[Selected], ROW() - ROW(Recipes2[#Headers])), "")</f>
        <v/>
      </c>
      <c r="AF120" t="str">
        <f>IFERROR(INDEX(Recipes2[Name], Recipes2[[#This Row],[Selected Sorted]]), "")</f>
        <v/>
      </c>
      <c r="AG120" t="str">
        <f>IFERROR(INDEX(Recipes2[Component], Recipes2[[#This Row],[Selected Sorted]]), "")</f>
        <v/>
      </c>
      <c r="AH120" s="1" t="str">
        <f>IFERROR(INDEX(Recipes2[Quantity], Recipes2[[#This Row],[Selected Sorted]]), "")</f>
        <v/>
      </c>
    </row>
    <row r="121" spans="1:34" x14ac:dyDescent="0.25">
      <c r="A121" t="s">
        <v>98</v>
      </c>
      <c r="B121">
        <v>0.5</v>
      </c>
      <c r="C121" s="1">
        <f>MAX(Items[[#This Row],[Base Cycle Time]] / Items[[#This Row],[Speed]], MinInsertionTime) / Items[[#This Row],[Quantity Per Cycle]] / Items[[#This Row],[Bonus]]</f>
        <v>0.4</v>
      </c>
      <c r="D121" s="39">
        <v>1</v>
      </c>
      <c r="E121" t="s">
        <v>59</v>
      </c>
      <c r="F121" s="38">
        <f>INDEX(CraftingTypes[Speed], MATCH(Items[[#This Row],[Producer Type]], CraftingTypes[Producer Type], 0))</f>
        <v>1.25</v>
      </c>
      <c r="G121" s="38">
        <f>INDEX(CraftingTypes[Bonus], MATCH(Items[[#This Row],[Producer Type]], CraftingTypes[Producer Type], 0)) + 1</f>
        <v>1</v>
      </c>
      <c r="H121" s="38">
        <f>1 / Items[[#This Row],[Cycle Time for One]]</f>
        <v>2.5</v>
      </c>
      <c r="I121" s="36" t="b">
        <f>IFERROR(OR(Items[[#This Row],[Name]] = SelectedName, INDEX(CraftingTypes[Include], MATCH(Items[[#This Row],[Producer Type]], CraftingTypes[Producer Type], 0))), FALSE)</f>
        <v>1</v>
      </c>
      <c r="J121" s="38">
        <f>IF(Items[[#This Row],[Name]] = SelectedName, 1, IF(NOT(Items[[#This Row],[Include]]), 0, SUMIFS(RecipeTotals.Quantity, RecipeTotals.Name, SelectedName, RecipeTotals.Component, Items[[#This Row],[Name]])))</f>
        <v>0</v>
      </c>
      <c r="K121" s="38">
        <f>IFERROR(Items[[#This Row],[Selected Count]] / CycleTime.Actual, "")</f>
        <v>0</v>
      </c>
      <c r="L121" s="38">
        <f>IFERROR(Items[[#This Row],[Selected Per Second]] / Items[[#This Row],[Per Second]], "")</f>
        <v>0</v>
      </c>
      <c r="M121" s="38">
        <f>IFERROR(Items[[#This Row],[Selected Per Second]] / Items[[#This Row],[Per Second]], "")</f>
        <v>0</v>
      </c>
      <c r="N121" s="38">
        <f>IFERROR(CEILING(Items[[#This Row],[Fractional Producers for Selected Count]], 1), 0)</f>
        <v>0</v>
      </c>
      <c r="O121" s="38" t="str">
        <f>IF(AND(Items[[#This Row],[Producers For Selected Count]] &gt; 0, Items[[#This Row],[Include]]), ROW() - ROW(Items[#Headers]), "")</f>
        <v/>
      </c>
      <c r="P121" s="38" t="str">
        <f>IFERROR(SMALL(Items[Include Row Index], ROW() - ROW(Items[#Headers])), "")</f>
        <v/>
      </c>
      <c r="R121" t="s">
        <v>36</v>
      </c>
      <c r="S121" t="s">
        <v>2</v>
      </c>
      <c r="T121">
        <v>20</v>
      </c>
      <c r="U121" t="str">
        <f>IFERROR(IF(INDEX(Items[Selected Count], MATCH(Recipes[[#This Row],[Name]], Items[Name], 0)) &gt; 0, ROW() - ROW(Recipes[#Headers]), ""), "")</f>
        <v/>
      </c>
      <c r="V121" t="str">
        <f>IFERROR(SMALL(Recipes[Selected], ROW() - ROW(Recipes[#Headers])), "")</f>
        <v/>
      </c>
      <c r="W121" t="str">
        <f>IFERROR(INDEX(Recipes[Name], Recipes[[#This Row],[Selected Sorted]]), "")</f>
        <v/>
      </c>
      <c r="X121" t="str">
        <f>IFERROR(INDEX(Recipes[Component], Recipes[[#This Row],[Selected Sorted]]), "")</f>
        <v/>
      </c>
      <c r="Y121" s="1" t="str">
        <f>IFERROR(INDEX(Recipes[Quantity], Recipes[[#This Row],[Selected Sorted]]), "")</f>
        <v/>
      </c>
      <c r="AA121" t="s">
        <v>29</v>
      </c>
      <c r="AB121" t="s">
        <v>28</v>
      </c>
      <c r="AC121">
        <v>2</v>
      </c>
      <c r="AD121" t="str">
        <f>IFERROR(IF(INDEX(Items[Selected Count], MATCH(Recipes2[[#This Row],[Name]], Items[Name], 0)) &gt; 0, ROW() - ROW(Recipes2[#Headers]), ""), "")</f>
        <v/>
      </c>
      <c r="AE121" t="str">
        <f>IFERROR(SMALL(Recipes2[Selected], ROW() - ROW(Recipes2[#Headers])), "")</f>
        <v/>
      </c>
      <c r="AF121" t="str">
        <f>IFERROR(INDEX(Recipes2[Name], Recipes2[[#This Row],[Selected Sorted]]), "")</f>
        <v/>
      </c>
      <c r="AG121" t="str">
        <f>IFERROR(INDEX(Recipes2[Component], Recipes2[[#This Row],[Selected Sorted]]), "")</f>
        <v/>
      </c>
      <c r="AH121" s="1" t="str">
        <f>IFERROR(INDEX(Recipes2[Quantity], Recipes2[[#This Row],[Selected Sorted]]), "")</f>
        <v/>
      </c>
    </row>
    <row r="122" spans="1:34" x14ac:dyDescent="0.25">
      <c r="A122" t="s">
        <v>166</v>
      </c>
      <c r="B122">
        <v>0.5</v>
      </c>
      <c r="C122" s="1">
        <f>MAX(Items[[#This Row],[Base Cycle Time]] / Items[[#This Row],[Speed]], MinInsertionTime) / Items[[#This Row],[Quantity Per Cycle]] / Items[[#This Row],[Bonus]]</f>
        <v>0.4</v>
      </c>
      <c r="D122" s="39">
        <v>1</v>
      </c>
      <c r="E122" t="s">
        <v>59</v>
      </c>
      <c r="F122" s="38">
        <f>INDEX(CraftingTypes[Speed], MATCH(Items[[#This Row],[Producer Type]], CraftingTypes[Producer Type], 0))</f>
        <v>1.25</v>
      </c>
      <c r="G122" s="38">
        <f>INDEX(CraftingTypes[Bonus], MATCH(Items[[#This Row],[Producer Type]], CraftingTypes[Producer Type], 0)) + 1</f>
        <v>1</v>
      </c>
      <c r="H122" s="38">
        <f>1 / Items[[#This Row],[Cycle Time for One]]</f>
        <v>2.5</v>
      </c>
      <c r="I122" s="36" t="b">
        <f>IFERROR(OR(Items[[#This Row],[Name]] = SelectedName, INDEX(CraftingTypes[Include], MATCH(Items[[#This Row],[Producer Type]], CraftingTypes[Producer Type], 0))), FALSE)</f>
        <v>1</v>
      </c>
      <c r="J122" s="38">
        <f>IF(Items[[#This Row],[Name]] = SelectedName, 1, IF(NOT(Items[[#This Row],[Include]]), 0, SUMIFS(RecipeTotals.Quantity, RecipeTotals.Name, SelectedName, RecipeTotals.Component, Items[[#This Row],[Name]])))</f>
        <v>0</v>
      </c>
      <c r="K122" s="38">
        <f>IFERROR(Items[[#This Row],[Selected Count]] / CycleTime.Actual, "")</f>
        <v>0</v>
      </c>
      <c r="L122" s="38">
        <f>IFERROR(Items[[#This Row],[Selected Per Second]] / Items[[#This Row],[Per Second]], "")</f>
        <v>0</v>
      </c>
      <c r="M122" s="38">
        <f>IFERROR(Items[[#This Row],[Selected Per Second]] / Items[[#This Row],[Per Second]], "")</f>
        <v>0</v>
      </c>
      <c r="N122" s="38">
        <f>IFERROR(CEILING(Items[[#This Row],[Fractional Producers for Selected Count]], 1), 0)</f>
        <v>0</v>
      </c>
      <c r="O122" s="38" t="str">
        <f>IF(AND(Items[[#This Row],[Producers For Selected Count]] &gt; 0, Items[[#This Row],[Include]]), ROW() - ROW(Items[#Headers]), "")</f>
        <v/>
      </c>
      <c r="P122" s="38" t="str">
        <f>IFERROR(SMALL(Items[Include Row Index], ROW() - ROW(Items[#Headers])), "")</f>
        <v/>
      </c>
      <c r="R122" t="s">
        <v>167</v>
      </c>
      <c r="S122" t="s">
        <v>146</v>
      </c>
      <c r="T122">
        <v>10</v>
      </c>
      <c r="U122" s="1" t="str">
        <f>IFERROR(IF(INDEX(Items[Selected Count], MATCH(Recipes[[#This Row],[Name]], Items[Name], 0)) &gt; 0, ROW() - ROW(Recipes[#Headers]), ""), "")</f>
        <v/>
      </c>
      <c r="V122" s="1" t="str">
        <f>IFERROR(SMALL(Recipes[Selected], ROW() - ROW(Recipes[#Headers])), "")</f>
        <v/>
      </c>
      <c r="W122" s="1" t="str">
        <f>IFERROR(INDEX(Recipes[Name], Recipes[[#This Row],[Selected Sorted]]), "")</f>
        <v/>
      </c>
      <c r="X122" s="1" t="str">
        <f>IFERROR(INDEX(Recipes[Component], Recipes[[#This Row],[Selected Sorted]]), "")</f>
        <v/>
      </c>
      <c r="Y122" s="1" t="str">
        <f>IFERROR(INDEX(Recipes[Quantity], Recipes[[#This Row],[Selected Sorted]]), "")</f>
        <v/>
      </c>
      <c r="AA122" t="s">
        <v>34</v>
      </c>
      <c r="AB122" t="s">
        <v>71</v>
      </c>
      <c r="AC122">
        <v>1</v>
      </c>
      <c r="AD122" t="str">
        <f>IFERROR(IF(INDEX(Items[Selected Count], MATCH(Recipes2[[#This Row],[Name]], Items[Name], 0)) &gt; 0, ROW() - ROW(Recipes2[#Headers]), ""), "")</f>
        <v/>
      </c>
      <c r="AE122" t="str">
        <f>IFERROR(SMALL(Recipes2[Selected], ROW() - ROW(Recipes2[#Headers])), "")</f>
        <v/>
      </c>
      <c r="AF122" t="str">
        <f>IFERROR(INDEX(Recipes2[Name], Recipes2[[#This Row],[Selected Sorted]]), "")</f>
        <v/>
      </c>
      <c r="AG122" t="str">
        <f>IFERROR(INDEX(Recipes2[Component], Recipes2[[#This Row],[Selected Sorted]]), "")</f>
        <v/>
      </c>
      <c r="AH122" s="1" t="str">
        <f>IFERROR(INDEX(Recipes2[Quantity], Recipes2[[#This Row],[Selected Sorted]]), "")</f>
        <v/>
      </c>
    </row>
    <row r="123" spans="1:34" x14ac:dyDescent="0.25">
      <c r="A123" t="s">
        <v>108</v>
      </c>
      <c r="B123">
        <v>3</v>
      </c>
      <c r="C123">
        <f>MAX(Items[[#This Row],[Base Cycle Time]] / Items[[#This Row],[Speed]], MinInsertionTime) / Items[[#This Row],[Quantity Per Cycle]] / Items[[#This Row],[Bonus]]</f>
        <v>2.4</v>
      </c>
      <c r="D123" s="39">
        <v>1</v>
      </c>
      <c r="E123" t="s">
        <v>59</v>
      </c>
      <c r="F123" s="38">
        <f>INDEX(CraftingTypes[Speed], MATCH(Items[[#This Row],[Producer Type]], CraftingTypes[Producer Type], 0))</f>
        <v>1.25</v>
      </c>
      <c r="G123" s="38">
        <f>INDEX(CraftingTypes[Bonus], MATCH(Items[[#This Row],[Producer Type]], CraftingTypes[Producer Type], 0)) + 1</f>
        <v>1</v>
      </c>
      <c r="H123" s="38">
        <f>1 / Items[[#This Row],[Cycle Time for One]]</f>
        <v>0.41666666666666669</v>
      </c>
      <c r="I123" s="36" t="b">
        <f>IFERROR(OR(Items[[#This Row],[Name]] = SelectedName, INDEX(CraftingTypes[Include], MATCH(Items[[#This Row],[Producer Type]], CraftingTypes[Producer Type], 0))), FALSE)</f>
        <v>1</v>
      </c>
      <c r="J123" s="38">
        <f>IF(Items[[#This Row],[Name]] = SelectedName, 1, IF(NOT(Items[[#This Row],[Include]]), 0, SUMIFS(RecipeTotals.Quantity, RecipeTotals.Name, SelectedName, RecipeTotals.Component, Items[[#This Row],[Name]])))</f>
        <v>0</v>
      </c>
      <c r="K123" s="38">
        <f>IFERROR(Items[[#This Row],[Selected Count]] / CycleTime.Actual, "")</f>
        <v>0</v>
      </c>
      <c r="L123" s="38">
        <f>IFERROR(Items[[#This Row],[Selected Per Second]] / Items[[#This Row],[Per Second]], "")</f>
        <v>0</v>
      </c>
      <c r="M123" s="38">
        <f>IFERROR(Items[[#This Row],[Selected Per Second]] / Items[[#This Row],[Per Second]], "")</f>
        <v>0</v>
      </c>
      <c r="N123" s="38">
        <f>IFERROR(CEILING(Items[[#This Row],[Fractional Producers for Selected Count]], 1), 0)</f>
        <v>0</v>
      </c>
      <c r="O123" s="38" t="str">
        <f>IF(AND(Items[[#This Row],[Producers For Selected Count]] &gt; 0, Items[[#This Row],[Include]]), ROW() - ROW(Items[#Headers]), "")</f>
        <v/>
      </c>
      <c r="P123" s="38" t="str">
        <f>IFERROR(SMALL(Items[Include Row Index], ROW() - ROW(Items[#Headers])), "")</f>
        <v/>
      </c>
      <c r="R123" t="s">
        <v>147</v>
      </c>
      <c r="S123" t="s">
        <v>4</v>
      </c>
      <c r="T123">
        <v>100</v>
      </c>
      <c r="U123" s="1" t="str">
        <f>IFERROR(IF(INDEX(Items[Selected Count], MATCH(Recipes[[#This Row],[Name]], Items[Name], 0)) &gt; 0, ROW() - ROW(Recipes[#Headers]), ""), "")</f>
        <v/>
      </c>
      <c r="V123" s="1" t="str">
        <f>IFERROR(SMALL(Recipes[Selected], ROW() - ROW(Recipes[#Headers])), "")</f>
        <v/>
      </c>
      <c r="W123" s="1" t="str">
        <f>IFERROR(INDEX(Recipes[Name], Recipes[[#This Row],[Selected Sorted]]), "")</f>
        <v/>
      </c>
      <c r="X123" s="1" t="str">
        <f>IFERROR(INDEX(Recipes[Component], Recipes[[#This Row],[Selected Sorted]]), "")</f>
        <v/>
      </c>
      <c r="Y123" s="1" t="str">
        <f>IFERROR(INDEX(Recipes[Quantity], Recipes[[#This Row],[Selected Sorted]]), "")</f>
        <v/>
      </c>
      <c r="AA123" t="s">
        <v>56</v>
      </c>
      <c r="AB123" t="s">
        <v>55</v>
      </c>
      <c r="AC123">
        <v>1</v>
      </c>
      <c r="AD123" t="str">
        <f>IFERROR(IF(INDEX(Items[Selected Count], MATCH(Recipes2[[#This Row],[Name]], Items[Name], 0)) &gt; 0, ROW() - ROW(Recipes2[#Headers]), ""), "")</f>
        <v/>
      </c>
      <c r="AE123" t="str">
        <f>IFERROR(SMALL(Recipes2[Selected], ROW() - ROW(Recipes2[#Headers])), "")</f>
        <v/>
      </c>
      <c r="AF123" t="str">
        <f>IFERROR(INDEX(Recipes2[Name], Recipes2[[#This Row],[Selected Sorted]]), "")</f>
        <v/>
      </c>
      <c r="AG123" t="str">
        <f>IFERROR(INDEX(Recipes2[Component], Recipes2[[#This Row],[Selected Sorted]]), "")</f>
        <v/>
      </c>
      <c r="AH123" s="1" t="str">
        <f>IFERROR(INDEX(Recipes2[Quantity], Recipes2[[#This Row],[Selected Sorted]]), "")</f>
        <v/>
      </c>
    </row>
    <row r="124" spans="1:34" x14ac:dyDescent="0.25">
      <c r="A124" t="s">
        <v>154</v>
      </c>
      <c r="B124">
        <v>0.5</v>
      </c>
      <c r="C124" s="1">
        <f>MAX(Items[[#This Row],[Base Cycle Time]] / Items[[#This Row],[Speed]], MinInsertionTime) / Items[[#This Row],[Quantity Per Cycle]] / Items[[#This Row],[Bonus]]</f>
        <v>0.4</v>
      </c>
      <c r="D124" s="39">
        <v>1</v>
      </c>
      <c r="E124" t="s">
        <v>59</v>
      </c>
      <c r="F124" s="38">
        <f>INDEX(CraftingTypes[Speed], MATCH(Items[[#This Row],[Producer Type]], CraftingTypes[Producer Type], 0))</f>
        <v>1.25</v>
      </c>
      <c r="G124" s="38">
        <f>INDEX(CraftingTypes[Bonus], MATCH(Items[[#This Row],[Producer Type]], CraftingTypes[Producer Type], 0)) + 1</f>
        <v>1</v>
      </c>
      <c r="H124" s="38">
        <f>1 / Items[[#This Row],[Cycle Time for One]]</f>
        <v>2.5</v>
      </c>
      <c r="I124" s="36" t="b">
        <f>IFERROR(OR(Items[[#This Row],[Name]] = SelectedName, INDEX(CraftingTypes[Include], MATCH(Items[[#This Row],[Producer Type]], CraftingTypes[Producer Type], 0))), FALSE)</f>
        <v>1</v>
      </c>
      <c r="J124" s="38">
        <f>IF(Items[[#This Row],[Name]] = SelectedName, 1, IF(NOT(Items[[#This Row],[Include]]), 0, SUMIFS(RecipeTotals.Quantity, RecipeTotals.Name, SelectedName, RecipeTotals.Component, Items[[#This Row],[Name]])))</f>
        <v>0</v>
      </c>
      <c r="K124" s="38">
        <f>IFERROR(Items[[#This Row],[Selected Count]] / CycleTime.Actual, "")</f>
        <v>0</v>
      </c>
      <c r="L124" s="38">
        <f>IFERROR(Items[[#This Row],[Selected Per Second]] / Items[[#This Row],[Per Second]], "")</f>
        <v>0</v>
      </c>
      <c r="M124" s="38">
        <f>IFERROR(Items[[#This Row],[Selected Per Second]] / Items[[#This Row],[Per Second]], "")</f>
        <v>0</v>
      </c>
      <c r="N124" s="38">
        <f>IFERROR(CEILING(Items[[#This Row],[Fractional Producers for Selected Count]], 1), 0)</f>
        <v>0</v>
      </c>
      <c r="O124" s="38" t="str">
        <f>IF(AND(Items[[#This Row],[Producers For Selected Count]] &gt; 0, Items[[#This Row],[Include]]), ROW() - ROW(Items[#Headers]), "")</f>
        <v/>
      </c>
      <c r="P124" s="38" t="str">
        <f>IFERROR(SMALL(Items[Include Row Index], ROW() - ROW(Items[#Headers])), "")</f>
        <v/>
      </c>
      <c r="R124" t="s">
        <v>147</v>
      </c>
      <c r="S124" t="s">
        <v>23</v>
      </c>
      <c r="T124">
        <v>10</v>
      </c>
      <c r="U124" s="1" t="str">
        <f>IFERROR(IF(INDEX(Items[Selected Count], MATCH(Recipes[[#This Row],[Name]], Items[Name], 0)) &gt; 0, ROW() - ROW(Recipes[#Headers]), ""), "")</f>
        <v/>
      </c>
      <c r="V124" s="1" t="str">
        <f>IFERROR(SMALL(Recipes[Selected], ROW() - ROW(Recipes[#Headers])), "")</f>
        <v/>
      </c>
      <c r="W124" s="1" t="str">
        <f>IFERROR(INDEX(Recipes[Name], Recipes[[#This Row],[Selected Sorted]]), "")</f>
        <v/>
      </c>
      <c r="X124" s="1" t="str">
        <f>IFERROR(INDEX(Recipes[Component], Recipes[[#This Row],[Selected Sorted]]), "")</f>
        <v/>
      </c>
      <c r="Y124" s="1" t="str">
        <f>IFERROR(INDEX(Recipes[Quantity], Recipes[[#This Row],[Selected Sorted]]), "")</f>
        <v/>
      </c>
      <c r="AA124" t="s">
        <v>57</v>
      </c>
      <c r="AB124" t="s">
        <v>55</v>
      </c>
      <c r="AC124">
        <v>1</v>
      </c>
      <c r="AD124" t="str">
        <f>IFERROR(IF(INDEX(Items[Selected Count], MATCH(Recipes2[[#This Row],[Name]], Items[Name], 0)) &gt; 0, ROW() - ROW(Recipes2[#Headers]), ""), "")</f>
        <v/>
      </c>
      <c r="AE124" t="str">
        <f>IFERROR(SMALL(Recipes2[Selected], ROW() - ROW(Recipes2[#Headers])), "")</f>
        <v/>
      </c>
      <c r="AF124" t="str">
        <f>IFERROR(INDEX(Recipes2[Name], Recipes2[[#This Row],[Selected Sorted]]), "")</f>
        <v/>
      </c>
      <c r="AG124" t="str">
        <f>IFERROR(INDEX(Recipes2[Component], Recipes2[[#This Row],[Selected Sorted]]), "")</f>
        <v/>
      </c>
      <c r="AH124" s="1" t="str">
        <f>IFERROR(INDEX(Recipes2[Quantity], Recipes2[[#This Row],[Selected Sorted]]), "")</f>
        <v/>
      </c>
    </row>
    <row r="125" spans="1:34" x14ac:dyDescent="0.25">
      <c r="A125" t="s">
        <v>41</v>
      </c>
      <c r="B125">
        <v>0.5</v>
      </c>
      <c r="C125">
        <f>MAX(Items[[#This Row],[Base Cycle Time]] / Items[[#This Row],[Speed]], MinInsertionTime) / Items[[#This Row],[Quantity Per Cycle]] / Items[[#This Row],[Bonus]]</f>
        <v>0.4</v>
      </c>
      <c r="D125" s="39">
        <v>1</v>
      </c>
      <c r="E125" t="s">
        <v>59</v>
      </c>
      <c r="F125" s="39">
        <f>INDEX(CraftingTypes[Speed], MATCH(Items[[#This Row],[Producer Type]], CraftingTypes[Producer Type], 0))</f>
        <v>1.25</v>
      </c>
      <c r="G125" s="39">
        <f>INDEX(CraftingTypes[Bonus], MATCH(Items[[#This Row],[Producer Type]], CraftingTypes[Producer Type], 0)) + 1</f>
        <v>1</v>
      </c>
      <c r="H125" s="38">
        <f>1 / Items[[#This Row],[Cycle Time for One]]</f>
        <v>2.5</v>
      </c>
      <c r="I125" s="36" t="b">
        <f>IFERROR(OR(Items[[#This Row],[Name]] = SelectedName, INDEX(CraftingTypes[Include], MATCH(Items[[#This Row],[Producer Type]], CraftingTypes[Producer Type], 0))), FALSE)</f>
        <v>1</v>
      </c>
      <c r="J125" s="38">
        <f>IF(Items[[#This Row],[Name]] = SelectedName, 1, IF(NOT(Items[[#This Row],[Include]]), 0, SUMIFS(RecipeTotals.Quantity, RecipeTotals.Name, SelectedName, RecipeTotals.Component, Items[[#This Row],[Name]])))</f>
        <v>0</v>
      </c>
      <c r="K125" s="38">
        <f>IFERROR(Items[[#This Row],[Selected Count]] / CycleTime.Actual, "")</f>
        <v>0</v>
      </c>
      <c r="L125" s="38">
        <f>IFERROR(Items[[#This Row],[Selected Per Second]] / Items[[#This Row],[Per Second]], "")</f>
        <v>0</v>
      </c>
      <c r="M125" s="38">
        <f>IFERROR(Items[[#This Row],[Selected Per Second]] / Items[[#This Row],[Per Second]], "")</f>
        <v>0</v>
      </c>
      <c r="N125" s="38">
        <f>IFERROR(CEILING(Items[[#This Row],[Fractional Producers for Selected Count]], 1), 0)</f>
        <v>0</v>
      </c>
      <c r="O125" s="38" t="str">
        <f>IF(AND(Items[[#This Row],[Producers For Selected Count]] &gt; 0, Items[[#This Row],[Include]]), ROW() - ROW(Items[#Headers]), "")</f>
        <v/>
      </c>
      <c r="P125" s="38" t="str">
        <f>IFERROR(SMALL(Items[Include Row Index], ROW() - ROW(Items[#Headers])), "")</f>
        <v/>
      </c>
      <c r="R125" t="s">
        <v>147</v>
      </c>
      <c r="S125" t="s">
        <v>35</v>
      </c>
      <c r="T125">
        <v>10</v>
      </c>
      <c r="U125" s="1" t="str">
        <f>IFERROR(IF(INDEX(Items[Selected Count], MATCH(Recipes[[#This Row],[Name]], Items[Name], 0)) &gt; 0, ROW() - ROW(Recipes[#Headers]), ""), "")</f>
        <v/>
      </c>
      <c r="V125" s="1" t="str">
        <f>IFERROR(SMALL(Recipes[Selected], ROW() - ROW(Recipes[#Headers])), "")</f>
        <v/>
      </c>
      <c r="W125" s="1" t="str">
        <f>IFERROR(INDEX(Recipes[Name], Recipes[[#This Row],[Selected Sorted]]), "")</f>
        <v/>
      </c>
      <c r="X125" s="1" t="str">
        <f>IFERROR(INDEX(Recipes[Component], Recipes[[#This Row],[Selected Sorted]]), "")</f>
        <v/>
      </c>
      <c r="Y125" s="1" t="str">
        <f>IFERROR(INDEX(Recipes[Quantity], Recipes[[#This Row],[Selected Sorted]]), "")</f>
        <v/>
      </c>
      <c r="AA125" t="s">
        <v>70</v>
      </c>
      <c r="AB125" t="s">
        <v>37</v>
      </c>
      <c r="AC125">
        <v>1</v>
      </c>
      <c r="AD125" t="str">
        <f>IFERROR(IF(INDEX(Items[Selected Count], MATCH(Recipes2[[#This Row],[Name]], Items[Name], 0)) &gt; 0, ROW() - ROW(Recipes2[#Headers]), ""), "")</f>
        <v/>
      </c>
      <c r="AE125" t="str">
        <f>IFERROR(SMALL(Recipes2[Selected], ROW() - ROW(Recipes2[#Headers])), "")</f>
        <v/>
      </c>
      <c r="AF125" t="str">
        <f>IFERROR(INDEX(Recipes2[Name], Recipes2[[#This Row],[Selected Sorted]]), "")</f>
        <v/>
      </c>
      <c r="AG125" t="str">
        <f>IFERROR(INDEX(Recipes2[Component], Recipes2[[#This Row],[Selected Sorted]]), "")</f>
        <v/>
      </c>
      <c r="AH125" s="1" t="str">
        <f>IFERROR(INDEX(Recipes2[Quantity], Recipes2[[#This Row],[Selected Sorted]]), "")</f>
        <v/>
      </c>
    </row>
    <row r="126" spans="1:34" x14ac:dyDescent="0.25">
      <c r="A126" t="s">
        <v>64</v>
      </c>
      <c r="B126">
        <v>1</v>
      </c>
      <c r="C126">
        <f>MAX(Items[[#This Row],[Base Cycle Time]] / Items[[#This Row],[Speed]], MinInsertionTime) / Items[[#This Row],[Quantity Per Cycle]] / Items[[#This Row],[Bonus]]</f>
        <v>0.16</v>
      </c>
      <c r="D126" s="39">
        <v>2</v>
      </c>
      <c r="E126" t="s">
        <v>60</v>
      </c>
      <c r="F126" s="39">
        <f>INDEX(CraftingTypes[Speed], MATCH(Items[[#This Row],[Producer Type]], CraftingTypes[Producer Type], 0))</f>
        <v>3.125</v>
      </c>
      <c r="G126" s="39">
        <f>INDEX(CraftingTypes[Bonus], MATCH(Items[[#This Row],[Producer Type]], CraftingTypes[Producer Type], 0)) + 1</f>
        <v>1</v>
      </c>
      <c r="H126" s="38">
        <f>1 / Items[[#This Row],[Cycle Time for One]]</f>
        <v>6.25</v>
      </c>
      <c r="I126" s="36" t="b">
        <f>IFERROR(OR(Items[[#This Row],[Name]] = SelectedName, INDEX(CraftingTypes[Include], MATCH(Items[[#This Row],[Producer Type]], CraftingTypes[Producer Type], 0))), FALSE)</f>
        <v>1</v>
      </c>
      <c r="J126" s="38">
        <f>IF(Items[[#This Row],[Name]] = SelectedName, 1, IF(NOT(Items[[#This Row],[Include]]), 0, SUMIFS(RecipeTotals.Quantity, RecipeTotals.Name, SelectedName, RecipeTotals.Component, Items[[#This Row],[Name]])))</f>
        <v>0</v>
      </c>
      <c r="K126" s="38">
        <f>IFERROR(Items[[#This Row],[Selected Count]] / CycleTime.Actual, "")</f>
        <v>0</v>
      </c>
      <c r="L126" s="38">
        <f>IFERROR(Items[[#This Row],[Selected Per Second]] / Items[[#This Row],[Per Second]], "")</f>
        <v>0</v>
      </c>
      <c r="M126" s="38">
        <f>IFERROR(Items[[#This Row],[Selected Per Second]] / Items[[#This Row],[Per Second]], "")</f>
        <v>0</v>
      </c>
      <c r="N126" s="38">
        <f>IFERROR(CEILING(Items[[#This Row],[Fractional Producers for Selected Count]], 1), 0)</f>
        <v>0</v>
      </c>
      <c r="O126" s="38" t="str">
        <f>IF(AND(Items[[#This Row],[Producers For Selected Count]] &gt; 0, Items[[#This Row],[Include]]), ROW() - ROW(Items[#Headers]), "")</f>
        <v/>
      </c>
      <c r="P126" s="38" t="str">
        <f>IFERROR(SMALL(Items[Include Row Index], ROW() - ROW(Items[#Headers])), "")</f>
        <v/>
      </c>
      <c r="R126" t="s">
        <v>148</v>
      </c>
      <c r="S126" t="s">
        <v>4</v>
      </c>
      <c r="T126">
        <v>20</v>
      </c>
      <c r="U126" s="1" t="str">
        <f>IFERROR(IF(INDEX(Items[Selected Count], MATCH(Recipes[[#This Row],[Name]], Items[Name], 0)) &gt; 0, ROW() - ROW(Recipes[#Headers]), ""), "")</f>
        <v/>
      </c>
      <c r="V126" s="1" t="str">
        <f>IFERROR(SMALL(Recipes[Selected], ROW() - ROW(Recipes[#Headers])), "")</f>
        <v/>
      </c>
      <c r="W126" s="1" t="str">
        <f>IFERROR(INDEX(Recipes[Name], Recipes[[#This Row],[Selected Sorted]]), "")</f>
        <v/>
      </c>
      <c r="X126" s="1" t="str">
        <f>IFERROR(INDEX(Recipes[Component], Recipes[[#This Row],[Selected Sorted]]), "")</f>
        <v/>
      </c>
      <c r="Y126" s="1" t="str">
        <f>IFERROR(INDEX(Recipes[Quantity], Recipes[[#This Row],[Selected Sorted]]), "")</f>
        <v/>
      </c>
      <c r="AA126" t="s">
        <v>70</v>
      </c>
      <c r="AB126" t="s">
        <v>36</v>
      </c>
      <c r="AC126">
        <v>1</v>
      </c>
      <c r="AD126" t="str">
        <f>IFERROR(IF(INDEX(Items[Selected Count], MATCH(Recipes2[[#This Row],[Name]], Items[Name], 0)) &gt; 0, ROW() - ROW(Recipes2[#Headers]), ""), "")</f>
        <v/>
      </c>
      <c r="AE126" t="str">
        <f>IFERROR(SMALL(Recipes2[Selected], ROW() - ROW(Recipes2[#Headers])), "")</f>
        <v/>
      </c>
      <c r="AF126" t="str">
        <f>IFERROR(INDEX(Recipes2[Name], Recipes2[[#This Row],[Selected Sorted]]), "")</f>
        <v/>
      </c>
      <c r="AG126" t="str">
        <f>IFERROR(INDEX(Recipes2[Component], Recipes2[[#This Row],[Selected Sorted]]), "")</f>
        <v/>
      </c>
      <c r="AH126" s="1" t="str">
        <f>IFERROR(INDEX(Recipes2[Quantity], Recipes2[[#This Row],[Selected Sorted]]), "")</f>
        <v/>
      </c>
    </row>
    <row r="127" spans="1:34" x14ac:dyDescent="0.25">
      <c r="A127" t="s">
        <v>62</v>
      </c>
      <c r="B127">
        <v>1</v>
      </c>
      <c r="C127">
        <f>MAX(Items[[#This Row],[Base Cycle Time]] / Items[[#This Row],[Speed]], MinInsertionTime) / Items[[#This Row],[Quantity Per Cycle]] / Items[[#This Row],[Bonus]]</f>
        <v>6.4000000000000003E-3</v>
      </c>
      <c r="D127" s="39">
        <v>50</v>
      </c>
      <c r="E127" t="s">
        <v>60</v>
      </c>
      <c r="F127" s="39">
        <f>INDEX(CraftingTypes[Speed], MATCH(Items[[#This Row],[Producer Type]], CraftingTypes[Producer Type], 0))</f>
        <v>3.125</v>
      </c>
      <c r="G127" s="39">
        <f>INDEX(CraftingTypes[Bonus], MATCH(Items[[#This Row],[Producer Type]], CraftingTypes[Producer Type], 0)) + 1</f>
        <v>1</v>
      </c>
      <c r="H127" s="38">
        <f>1 / Items[[#This Row],[Cycle Time for One]]</f>
        <v>156.25</v>
      </c>
      <c r="I127" s="36" t="b">
        <f>IFERROR(OR(Items[[#This Row],[Name]] = SelectedName, INDEX(CraftingTypes[Include], MATCH(Items[[#This Row],[Producer Type]], CraftingTypes[Producer Type], 0))), FALSE)</f>
        <v>1</v>
      </c>
      <c r="J127" s="38">
        <f>IF(Items[[#This Row],[Name]] = SelectedName, 1, IF(NOT(Items[[#This Row],[Include]]), 0, SUMIFS(RecipeTotals.Quantity, RecipeTotals.Name, SelectedName, RecipeTotals.Component, Items[[#This Row],[Name]])))</f>
        <v>0</v>
      </c>
      <c r="K127" s="38">
        <f>IFERROR(Items[[#This Row],[Selected Count]] / CycleTime.Actual, "")</f>
        <v>0</v>
      </c>
      <c r="L127" s="38">
        <f>IFERROR(Items[[#This Row],[Selected Per Second]] / Items[[#This Row],[Per Second]], "")</f>
        <v>0</v>
      </c>
      <c r="M127" s="38">
        <f>IFERROR(Items[[#This Row],[Selected Per Second]] / Items[[#This Row],[Per Second]], "")</f>
        <v>0</v>
      </c>
      <c r="N127" s="38">
        <f>IFERROR(CEILING(Items[[#This Row],[Fractional Producers for Selected Count]], 1), 0)</f>
        <v>0</v>
      </c>
      <c r="O127" s="38" t="str">
        <f>IF(AND(Items[[#This Row],[Producers For Selected Count]] &gt; 0, Items[[#This Row],[Include]]), ROW() - ROW(Items[#Headers]), "")</f>
        <v/>
      </c>
      <c r="P127" s="38" t="str">
        <f>IFERROR(SMALL(Items[Include Row Index], ROW() - ROW(Items[#Headers])), "")</f>
        <v/>
      </c>
      <c r="R127" t="s">
        <v>148</v>
      </c>
      <c r="S127" t="s">
        <v>35</v>
      </c>
      <c r="T127">
        <v>10</v>
      </c>
      <c r="U127" s="1" t="str">
        <f>IFERROR(IF(INDEX(Items[Selected Count], MATCH(Recipes[[#This Row],[Name]], Items[Name], 0)) &gt; 0, ROW() - ROW(Recipes[#Headers]), ""), "")</f>
        <v/>
      </c>
      <c r="V127" s="1" t="str">
        <f>IFERROR(SMALL(Recipes[Selected], ROW() - ROW(Recipes[#Headers])), "")</f>
        <v/>
      </c>
      <c r="W127" s="1" t="str">
        <f>IFERROR(INDEX(Recipes[Name], Recipes[[#This Row],[Selected Sorted]]), "")</f>
        <v/>
      </c>
      <c r="X127" s="1" t="str">
        <f>IFERROR(INDEX(Recipes[Component], Recipes[[#This Row],[Selected Sorted]]), "")</f>
        <v/>
      </c>
      <c r="Y127" s="1" t="str">
        <f>IFERROR(INDEX(Recipes[Quantity], Recipes[[#This Row],[Selected Sorted]]), "")</f>
        <v/>
      </c>
      <c r="AA127" t="s">
        <v>33</v>
      </c>
      <c r="AB127" t="s">
        <v>207</v>
      </c>
      <c r="AC127">
        <v>10</v>
      </c>
      <c r="AD127" s="1" t="str">
        <f>IFERROR(IF(INDEX(Items[Selected Count], MATCH(Recipes2[[#This Row],[Name]], Items[Name], 0)) &gt; 0, ROW() - ROW(Recipes2[#Headers]), ""), "")</f>
        <v/>
      </c>
      <c r="AE127" s="1" t="str">
        <f>IFERROR(SMALL(Recipes2[Selected], ROW() - ROW(Recipes2[#Headers])), "")</f>
        <v/>
      </c>
      <c r="AF127" s="1" t="str">
        <f>IFERROR(INDEX(Recipes2[Name], Recipes2[[#This Row],[Selected Sorted]]), "")</f>
        <v/>
      </c>
      <c r="AG127" s="1" t="str">
        <f>IFERROR(INDEX(Recipes2[Component], Recipes2[[#This Row],[Selected Sorted]]), "")</f>
        <v/>
      </c>
      <c r="AH127" s="1" t="str">
        <f>IFERROR(INDEX(Recipes2[Quantity], Recipes2[[#This Row],[Selected Sorted]]), "")</f>
        <v/>
      </c>
    </row>
    <row r="128" spans="1:34" x14ac:dyDescent="0.25">
      <c r="A128" t="s">
        <v>162</v>
      </c>
      <c r="B128">
        <v>0.5</v>
      </c>
      <c r="C128" s="1">
        <f>MAX(Items[[#This Row],[Base Cycle Time]] / Items[[#This Row],[Speed]], MinInsertionTime) / Items[[#This Row],[Quantity Per Cycle]] / Items[[#This Row],[Bonus]]</f>
        <v>0.4</v>
      </c>
      <c r="D128" s="39">
        <v>1</v>
      </c>
      <c r="E128" t="s">
        <v>59</v>
      </c>
      <c r="F128" s="38">
        <f>INDEX(CraftingTypes[Speed], MATCH(Items[[#This Row],[Producer Type]], CraftingTypes[Producer Type], 0))</f>
        <v>1.25</v>
      </c>
      <c r="G128" s="38">
        <f>INDEX(CraftingTypes[Bonus], MATCH(Items[[#This Row],[Producer Type]], CraftingTypes[Producer Type], 0)) + 1</f>
        <v>1</v>
      </c>
      <c r="H128" s="38">
        <f>1 / Items[[#This Row],[Cycle Time for One]]</f>
        <v>2.5</v>
      </c>
      <c r="I128" s="36" t="b">
        <f>IFERROR(OR(Items[[#This Row],[Name]] = SelectedName, INDEX(CraftingTypes[Include], MATCH(Items[[#This Row],[Producer Type]], CraftingTypes[Producer Type], 0))), FALSE)</f>
        <v>1</v>
      </c>
      <c r="J128" s="38">
        <f>IF(Items[[#This Row],[Name]] = SelectedName, 1, IF(NOT(Items[[#This Row],[Include]]), 0, SUMIFS(RecipeTotals.Quantity, RecipeTotals.Name, SelectedName, RecipeTotals.Component, Items[[#This Row],[Name]])))</f>
        <v>0</v>
      </c>
      <c r="K128" s="38">
        <f>IFERROR(Items[[#This Row],[Selected Count]] / CycleTime.Actual, "")</f>
        <v>0</v>
      </c>
      <c r="L128" s="38">
        <f>IFERROR(Items[[#This Row],[Selected Per Second]] / Items[[#This Row],[Per Second]], "")</f>
        <v>0</v>
      </c>
      <c r="M128" s="38">
        <f>IFERROR(Items[[#This Row],[Selected Per Second]] / Items[[#This Row],[Per Second]], "")</f>
        <v>0</v>
      </c>
      <c r="N128" s="38">
        <f>IFERROR(CEILING(Items[[#This Row],[Fractional Producers for Selected Count]], 1), 0)</f>
        <v>0</v>
      </c>
      <c r="O128" s="38" t="str">
        <f>IF(AND(Items[[#This Row],[Producers For Selected Count]] &gt; 0, Items[[#This Row],[Include]]), ROW() - ROW(Items[#Headers]), "")</f>
        <v/>
      </c>
      <c r="P128" s="38" t="str">
        <f>IFERROR(SMALL(Items[Include Row Index], ROW() - ROW(Items[#Headers])), "")</f>
        <v/>
      </c>
      <c r="R128" t="s">
        <v>81</v>
      </c>
      <c r="S128" t="s">
        <v>52</v>
      </c>
      <c r="T128">
        <v>1</v>
      </c>
      <c r="U128" s="1" t="str">
        <f>IFERROR(IF(INDEX(Items[Selected Count], MATCH(Recipes[[#This Row],[Name]], Items[Name], 0)) &gt; 0, ROW() - ROW(Recipes[#Headers]), ""), "")</f>
        <v/>
      </c>
      <c r="V128" s="1" t="str">
        <f>IFERROR(SMALL(Recipes[Selected], ROW() - ROW(Recipes[#Headers])), "")</f>
        <v/>
      </c>
      <c r="W128" s="1" t="str">
        <f>IFERROR(INDEX(Recipes[Name], Recipes[[#This Row],[Selected Sorted]]), "")</f>
        <v/>
      </c>
      <c r="X128" s="1" t="str">
        <f>IFERROR(INDEX(Recipes[Component], Recipes[[#This Row],[Selected Sorted]]), "")</f>
        <v/>
      </c>
      <c r="Y128" s="1" t="str">
        <f>IFERROR(INDEX(Recipes[Quantity], Recipes[[#This Row],[Selected Sorted]]), "")</f>
        <v/>
      </c>
      <c r="AA128" t="s">
        <v>206</v>
      </c>
      <c r="AB128" t="s">
        <v>81</v>
      </c>
      <c r="AC128">
        <v>1</v>
      </c>
      <c r="AD128" s="1" t="str">
        <f>IFERROR(IF(INDEX(Items[Selected Count], MATCH(Recipes2[[#This Row],[Name]], Items[Name], 0)) &gt; 0, ROW() - ROW(Recipes2[#Headers]), ""), "")</f>
        <v/>
      </c>
      <c r="AE128" s="1" t="str">
        <f>IFERROR(SMALL(Recipes2[Selected], ROW() - ROW(Recipes2[#Headers])), "")</f>
        <v/>
      </c>
      <c r="AF128" s="1" t="str">
        <f>IFERROR(INDEX(Recipes2[Name], Recipes2[[#This Row],[Selected Sorted]]), "")</f>
        <v/>
      </c>
      <c r="AG128" s="1" t="str">
        <f>IFERROR(INDEX(Recipes2[Component], Recipes2[[#This Row],[Selected Sorted]]), "")</f>
        <v/>
      </c>
      <c r="AH128" s="1" t="str">
        <f>IFERROR(INDEX(Recipes2[Quantity], Recipes2[[#This Row],[Selected Sorted]]), "")</f>
        <v/>
      </c>
    </row>
    <row r="129" spans="1:34" x14ac:dyDescent="0.25">
      <c r="A129" t="s">
        <v>155</v>
      </c>
      <c r="B129">
        <v>0.5</v>
      </c>
      <c r="C129" s="1">
        <f>MAX(Items[[#This Row],[Base Cycle Time]] / Items[[#This Row],[Speed]], MinInsertionTime) / Items[[#This Row],[Quantity Per Cycle]] / Items[[#This Row],[Bonus]]</f>
        <v>0.4</v>
      </c>
      <c r="D129" s="39">
        <v>1</v>
      </c>
      <c r="E129" t="s">
        <v>59</v>
      </c>
      <c r="F129" s="38">
        <f>INDEX(CraftingTypes[Speed], MATCH(Items[[#This Row],[Producer Type]], CraftingTypes[Producer Type], 0))</f>
        <v>1.25</v>
      </c>
      <c r="G129" s="38">
        <f>INDEX(CraftingTypes[Bonus], MATCH(Items[[#This Row],[Producer Type]], CraftingTypes[Producer Type], 0)) + 1</f>
        <v>1</v>
      </c>
      <c r="H129" s="38">
        <f>1 / Items[[#This Row],[Cycle Time for One]]</f>
        <v>2.5</v>
      </c>
      <c r="I129" s="36" t="b">
        <f>IFERROR(OR(Items[[#This Row],[Name]] = SelectedName, INDEX(CraftingTypes[Include], MATCH(Items[[#This Row],[Producer Type]], CraftingTypes[Producer Type], 0))), FALSE)</f>
        <v>1</v>
      </c>
      <c r="J129" s="38">
        <f>IF(Items[[#This Row],[Name]] = SelectedName, 1, IF(NOT(Items[[#This Row],[Include]]), 0, SUMIFS(RecipeTotals.Quantity, RecipeTotals.Name, SelectedName, RecipeTotals.Component, Items[[#This Row],[Name]])))</f>
        <v>0</v>
      </c>
      <c r="K129" s="38">
        <f>IFERROR(Items[[#This Row],[Selected Count]] / CycleTime.Actual, "")</f>
        <v>0</v>
      </c>
      <c r="L129" s="38">
        <f>IFERROR(Items[[#This Row],[Selected Per Second]] / Items[[#This Row],[Per Second]], "")</f>
        <v>0</v>
      </c>
      <c r="M129" s="38">
        <f>IFERROR(Items[[#This Row],[Selected Per Second]] / Items[[#This Row],[Per Second]], "")</f>
        <v>0</v>
      </c>
      <c r="N129" s="38">
        <f>IFERROR(CEILING(Items[[#This Row],[Fractional Producers for Selected Count]], 1), 0)</f>
        <v>0</v>
      </c>
      <c r="O129" s="38" t="str">
        <f>IF(AND(Items[[#This Row],[Producers For Selected Count]] &gt; 0, Items[[#This Row],[Include]]), ROW() - ROW(Items[#Headers]), "")</f>
        <v/>
      </c>
      <c r="P129" s="38" t="str">
        <f>IFERROR(SMALL(Items[Include Row Index], ROW() - ROW(Items[#Headers])), "")</f>
        <v/>
      </c>
      <c r="R129" t="s">
        <v>81</v>
      </c>
      <c r="S129" t="s">
        <v>1</v>
      </c>
      <c r="T129">
        <v>30</v>
      </c>
      <c r="U129" s="1" t="str">
        <f>IFERROR(IF(INDEX(Items[Selected Count], MATCH(Recipes[[#This Row],[Name]], Items[Name], 0)) &gt; 0, ROW() - ROW(Recipes[#Headers]), ""), "")</f>
        <v/>
      </c>
      <c r="V129" s="1" t="str">
        <f>IFERROR(SMALL(Recipes[Selected], ROW() - ROW(Recipes[#Headers])), "")</f>
        <v/>
      </c>
      <c r="W129" s="1" t="str">
        <f>IFERROR(INDEX(Recipes[Name], Recipes[[#This Row],[Selected Sorted]]), "")</f>
        <v/>
      </c>
      <c r="X129" s="1" t="str">
        <f>IFERROR(INDEX(Recipes[Component], Recipes[[#This Row],[Selected Sorted]]), "")</f>
        <v/>
      </c>
      <c r="Y129" s="1" t="str">
        <f>IFERROR(INDEX(Recipes[Quantity], Recipes[[#This Row],[Selected Sorted]]), "")</f>
        <v/>
      </c>
      <c r="AA129" t="s">
        <v>44</v>
      </c>
      <c r="AB129" t="s">
        <v>42</v>
      </c>
      <c r="AC129">
        <v>1</v>
      </c>
      <c r="AD129" t="str">
        <f>IFERROR(IF(INDEX(Items[Selected Count], MATCH(Recipes2[[#This Row],[Name]], Items[Name], 0)) &gt; 0, ROW() - ROW(Recipes2[#Headers]), ""), "")</f>
        <v/>
      </c>
      <c r="AE129" t="str">
        <f>IFERROR(SMALL(Recipes2[Selected], ROW() - ROW(Recipes2[#Headers])), "")</f>
        <v/>
      </c>
      <c r="AF129" t="str">
        <f>IFERROR(INDEX(Recipes2[Name], Recipes2[[#This Row],[Selected Sorted]]), "")</f>
        <v/>
      </c>
      <c r="AG129" t="str">
        <f>IFERROR(INDEX(Recipes2[Component], Recipes2[[#This Row],[Selected Sorted]]), "")</f>
        <v/>
      </c>
      <c r="AH129" s="1" t="str">
        <f>IFERROR(INDEX(Recipes2[Quantity], Recipes2[[#This Row],[Selected Sorted]]), "")</f>
        <v/>
      </c>
    </row>
    <row r="130" spans="1:34" x14ac:dyDescent="0.25">
      <c r="A130" t="s">
        <v>24</v>
      </c>
      <c r="B130">
        <v>0.5</v>
      </c>
      <c r="C130">
        <f>MAX(Items[[#This Row],[Base Cycle Time]] / Items[[#This Row],[Speed]], MinInsertionTime) / Items[[#This Row],[Quantity Per Cycle]] / Items[[#This Row],[Bonus]]</f>
        <v>0.2</v>
      </c>
      <c r="D130" s="39">
        <v>2</v>
      </c>
      <c r="E130" t="s">
        <v>59</v>
      </c>
      <c r="F130" s="39">
        <f>INDEX(CraftingTypes[Speed], MATCH(Items[[#This Row],[Producer Type]], CraftingTypes[Producer Type], 0))</f>
        <v>1.25</v>
      </c>
      <c r="G130" s="39">
        <f>INDEX(CraftingTypes[Bonus], MATCH(Items[[#This Row],[Producer Type]], CraftingTypes[Producer Type], 0)) + 1</f>
        <v>1</v>
      </c>
      <c r="H130" s="38">
        <f>1 / Items[[#This Row],[Cycle Time for One]]</f>
        <v>5</v>
      </c>
      <c r="I130" s="36" t="b">
        <f>IFERROR(OR(Items[[#This Row],[Name]] = SelectedName, INDEX(CraftingTypes[Include], MATCH(Items[[#This Row],[Producer Type]], CraftingTypes[Producer Type], 0))), FALSE)</f>
        <v>1</v>
      </c>
      <c r="J130" s="38">
        <f>IF(Items[[#This Row],[Name]] = SelectedName, 1, IF(NOT(Items[[#This Row],[Include]]), 0, SUMIFS(RecipeTotals.Quantity, RecipeTotals.Name, SelectedName, RecipeTotals.Component, Items[[#This Row],[Name]])))</f>
        <v>0</v>
      </c>
      <c r="K130" s="38">
        <f>IFERROR(Items[[#This Row],[Selected Count]] / CycleTime.Actual, "")</f>
        <v>0</v>
      </c>
      <c r="L130" s="38">
        <f>IFERROR(Items[[#This Row],[Selected Per Second]] / Items[[#This Row],[Per Second]], "")</f>
        <v>0</v>
      </c>
      <c r="M130" s="38">
        <f>IFERROR(Items[[#This Row],[Selected Per Second]] / Items[[#This Row],[Per Second]], "")</f>
        <v>0</v>
      </c>
      <c r="N130" s="38">
        <f>IFERROR(CEILING(Items[[#This Row],[Fractional Producers for Selected Count]], 1), 0)</f>
        <v>0</v>
      </c>
      <c r="O130" s="38" t="str">
        <f>IF(AND(Items[[#This Row],[Producers For Selected Count]] &gt; 0, Items[[#This Row],[Include]]), ROW() - ROW(Items[#Headers]), "")</f>
        <v/>
      </c>
      <c r="P130" s="38" t="str">
        <f>IFERROR(SMALL(Items[Include Row Index], ROW() - ROW(Items[#Headers])), "")</f>
        <v/>
      </c>
      <c r="R130" t="s">
        <v>81</v>
      </c>
      <c r="S130" t="s">
        <v>82</v>
      </c>
      <c r="T130">
        <v>3</v>
      </c>
      <c r="U130" s="1" t="str">
        <f>IFERROR(IF(INDEX(Items[Selected Count], MATCH(Recipes[[#This Row],[Name]], Items[Name], 0)) &gt; 0, ROW() - ROW(Recipes[#Headers]), ""), "")</f>
        <v/>
      </c>
      <c r="V130" s="1" t="str">
        <f>IFERROR(SMALL(Recipes[Selected], ROW() - ROW(Recipes[#Headers])), "")</f>
        <v/>
      </c>
      <c r="W130" s="1" t="str">
        <f>IFERROR(INDEX(Recipes[Name], Recipes[[#This Row],[Selected Sorted]]), "")</f>
        <v/>
      </c>
      <c r="X130" s="1" t="str">
        <f>IFERROR(INDEX(Recipes[Component], Recipes[[#This Row],[Selected Sorted]]), "")</f>
        <v/>
      </c>
      <c r="Y130" s="1" t="str">
        <f>IFERROR(INDEX(Recipes[Quantity], Recipes[[#This Row],[Selected Sorted]]), "")</f>
        <v/>
      </c>
      <c r="AA130" t="s">
        <v>43</v>
      </c>
      <c r="AB130" t="s">
        <v>42</v>
      </c>
      <c r="AC130">
        <v>1</v>
      </c>
      <c r="AD130" t="str">
        <f>IFERROR(IF(INDEX(Items[Selected Count], MATCH(Recipes2[[#This Row],[Name]], Items[Name], 0)) &gt; 0, ROW() - ROW(Recipes2[#Headers]), ""), "")</f>
        <v/>
      </c>
      <c r="AE130" t="str">
        <f>IFERROR(SMALL(Recipes2[Selected], ROW() - ROW(Recipes2[#Headers])), "")</f>
        <v/>
      </c>
      <c r="AF130" t="str">
        <f>IFERROR(INDEX(Recipes2[Name], Recipes2[[#This Row],[Selected Sorted]]), "")</f>
        <v/>
      </c>
      <c r="AG130" t="str">
        <f>IFERROR(INDEX(Recipes2[Component], Recipes2[[#This Row],[Selected Sorted]]), "")</f>
        <v/>
      </c>
      <c r="AH130" s="1" t="str">
        <f>IFERROR(INDEX(Recipes2[Quantity], Recipes2[[#This Row],[Selected Sorted]]), "")</f>
        <v/>
      </c>
    </row>
    <row r="131" spans="1:34" x14ac:dyDescent="0.25">
      <c r="A131" t="s">
        <v>27</v>
      </c>
      <c r="B131">
        <v>0.5</v>
      </c>
      <c r="C131">
        <f>MAX(Items[[#This Row],[Base Cycle Time]] / Items[[#This Row],[Speed]], MinInsertionTime) / Items[[#This Row],[Quantity Per Cycle]] / Items[[#This Row],[Bonus]]</f>
        <v>0.2</v>
      </c>
      <c r="D131" s="39">
        <v>2</v>
      </c>
      <c r="E131" t="s">
        <v>59</v>
      </c>
      <c r="F131" s="39">
        <f>INDEX(CraftingTypes[Speed], MATCH(Items[[#This Row],[Producer Type]], CraftingTypes[Producer Type], 0))</f>
        <v>1.25</v>
      </c>
      <c r="G131" s="39">
        <f>INDEX(CraftingTypes[Bonus], MATCH(Items[[#This Row],[Producer Type]], CraftingTypes[Producer Type], 0)) + 1</f>
        <v>1</v>
      </c>
      <c r="H131" s="38">
        <f>1 / Items[[#This Row],[Cycle Time for One]]</f>
        <v>5</v>
      </c>
      <c r="I131" s="36" t="b">
        <f>IFERROR(OR(Items[[#This Row],[Name]] = SelectedName, INDEX(CraftingTypes[Include], MATCH(Items[[#This Row],[Producer Type]], CraftingTypes[Producer Type], 0))), FALSE)</f>
        <v>1</v>
      </c>
      <c r="J131" s="38">
        <f>IF(Items[[#This Row],[Name]] = SelectedName, 1, IF(NOT(Items[[#This Row],[Include]]), 0, SUMIFS(RecipeTotals.Quantity, RecipeTotals.Name, SelectedName, RecipeTotals.Component, Items[[#This Row],[Name]])))</f>
        <v>0</v>
      </c>
      <c r="K131" s="38">
        <f>IFERROR(Items[[#This Row],[Selected Count]] / CycleTime.Actual, "")</f>
        <v>0</v>
      </c>
      <c r="L131" s="38">
        <f>IFERROR(Items[[#This Row],[Selected Per Second]] / Items[[#This Row],[Per Second]], "")</f>
        <v>0</v>
      </c>
      <c r="M131" s="38">
        <f>IFERROR(Items[[#This Row],[Selected Per Second]] / Items[[#This Row],[Per Second]], "")</f>
        <v>0</v>
      </c>
      <c r="N131" s="38">
        <f>IFERROR(CEILING(Items[[#This Row],[Fractional Producers for Selected Count]], 1), 0)</f>
        <v>0</v>
      </c>
      <c r="O131" s="38" t="str">
        <f>IF(AND(Items[[#This Row],[Producers For Selected Count]] &gt; 0, Items[[#This Row],[Include]]), ROW() - ROW(Items[#Headers]), "")</f>
        <v/>
      </c>
      <c r="P131" s="38" t="str">
        <f>IFERROR(SMALL(Items[Include Row Index], ROW() - ROW(Items[#Headers])), "")</f>
        <v/>
      </c>
      <c r="R131" t="s">
        <v>81</v>
      </c>
      <c r="S131" t="s">
        <v>0</v>
      </c>
      <c r="T131">
        <v>1</v>
      </c>
      <c r="U131" s="1" t="str">
        <f>IFERROR(IF(INDEX(Items[Selected Count], MATCH(Recipes[[#This Row],[Name]], Items[Name], 0)) &gt; 0, ROW() - ROW(Recipes[#Headers]), ""), "")</f>
        <v/>
      </c>
      <c r="V131" s="1" t="str">
        <f>IFERROR(SMALL(Recipes[Selected], ROW() - ROW(Recipes[#Headers])), "")</f>
        <v/>
      </c>
      <c r="W131" s="1" t="str">
        <f>IFERROR(INDEX(Recipes[Name], Recipes[[#This Row],[Selected Sorted]]), "")</f>
        <v/>
      </c>
      <c r="X131" s="1" t="str">
        <f>IFERROR(INDEX(Recipes[Component], Recipes[[#This Row],[Selected Sorted]]), "")</f>
        <v/>
      </c>
      <c r="Y131" s="1" t="str">
        <f>IFERROR(INDEX(Recipes[Quantity], Recipes[[#This Row],[Selected Sorted]]), "")</f>
        <v/>
      </c>
      <c r="AA131" t="s">
        <v>49</v>
      </c>
      <c r="AB131" t="s">
        <v>42</v>
      </c>
      <c r="AC131">
        <v>1</v>
      </c>
      <c r="AD131" t="str">
        <f>IFERROR(IF(INDEX(Items[Selected Count], MATCH(Recipes2[[#This Row],[Name]], Items[Name], 0)) &gt; 0, ROW() - ROW(Recipes2[#Headers]), ""), "")</f>
        <v/>
      </c>
      <c r="AE131" t="str">
        <f>IFERROR(SMALL(Recipes2[Selected], ROW() - ROW(Recipes2[#Headers])), "")</f>
        <v/>
      </c>
      <c r="AF131" t="str">
        <f>IFERROR(INDEX(Recipes2[Name], Recipes2[[#This Row],[Selected Sorted]]), "")</f>
        <v/>
      </c>
      <c r="AG131" t="str">
        <f>IFERROR(INDEX(Recipes2[Component], Recipes2[[#This Row],[Selected Sorted]]), "")</f>
        <v/>
      </c>
      <c r="AH131" s="1" t="str">
        <f>IFERROR(INDEX(Recipes2[Quantity], Recipes2[[#This Row],[Selected Sorted]]), "")</f>
        <v/>
      </c>
    </row>
    <row r="132" spans="1:34" x14ac:dyDescent="0.25">
      <c r="A132" t="s">
        <v>63</v>
      </c>
      <c r="B132">
        <v>1</v>
      </c>
      <c r="C132">
        <f>MAX(Items[[#This Row],[Base Cycle Time]] / Items[[#This Row],[Speed]], MinInsertionTime) / Items[[#This Row],[Quantity Per Cycle]] / Items[[#This Row],[Bonus]]</f>
        <v>1.3888888888888888E-5</v>
      </c>
      <c r="D132" s="39">
        <v>1200</v>
      </c>
      <c r="E132" t="s">
        <v>102</v>
      </c>
      <c r="F132" s="39">
        <f>INDEX(CraftingTypes[Speed], MATCH(Items[[#This Row],[Producer Type]], CraftingTypes[Producer Type], 0))</f>
        <v>60</v>
      </c>
      <c r="G132" s="39">
        <f>INDEX(CraftingTypes[Bonus], MATCH(Items[[#This Row],[Producer Type]], CraftingTypes[Producer Type], 0)) + 1</f>
        <v>1</v>
      </c>
      <c r="H132" s="38">
        <f>1 / Items[[#This Row],[Cycle Time for One]]</f>
        <v>72000</v>
      </c>
      <c r="I132" s="36" t="b">
        <f>IFERROR(OR(Items[[#This Row],[Name]] = SelectedName, INDEX(CraftingTypes[Include], MATCH(Items[[#This Row],[Producer Type]], CraftingTypes[Producer Type], 0))), FALSE)</f>
        <v>0</v>
      </c>
      <c r="J132" s="38">
        <f>IF(Items[[#This Row],[Name]] = SelectedName, 1, IF(NOT(Items[[#This Row],[Include]]), 0, SUMIFS(RecipeTotals.Quantity, RecipeTotals.Name, SelectedName, RecipeTotals.Component, Items[[#This Row],[Name]])))</f>
        <v>0</v>
      </c>
      <c r="K132" s="38">
        <f>IFERROR(Items[[#This Row],[Selected Count]] / CycleTime.Actual, "")</f>
        <v>0</v>
      </c>
      <c r="L132" s="38">
        <f>IFERROR(Items[[#This Row],[Selected Per Second]] / Items[[#This Row],[Per Second]], "")</f>
        <v>0</v>
      </c>
      <c r="M132" s="38">
        <f>IFERROR(Items[[#This Row],[Selected Per Second]] / Items[[#This Row],[Per Second]], "")</f>
        <v>0</v>
      </c>
      <c r="N132" s="38">
        <f>IFERROR(CEILING(Items[[#This Row],[Fractional Producers for Selected Count]], 1), 0)</f>
        <v>0</v>
      </c>
      <c r="O132" s="38" t="str">
        <f>IF(AND(Items[[#This Row],[Producers For Selected Count]] &gt; 0, Items[[#This Row],[Include]]), ROW() - ROW(Items[#Headers]), "")</f>
        <v/>
      </c>
      <c r="P132" s="38" t="str">
        <f>IFERROR(SMALL(Items[Include Row Index], ROW() - ROW(Items[#Headers])), "")</f>
        <v/>
      </c>
      <c r="R132" t="s">
        <v>42</v>
      </c>
      <c r="S132" t="s">
        <v>5</v>
      </c>
      <c r="T132">
        <v>1</v>
      </c>
      <c r="U132" t="str">
        <f>IFERROR(IF(INDEX(Items[Selected Count], MATCH(Recipes[[#This Row],[Name]], Items[Name], 0)) &gt; 0, ROW() - ROW(Recipes[#Headers]), ""), "")</f>
        <v/>
      </c>
      <c r="V132" t="str">
        <f>IFERROR(SMALL(Recipes[Selected], ROW() - ROW(Recipes[#Headers])), "")</f>
        <v/>
      </c>
      <c r="W132" t="str">
        <f>IFERROR(INDEX(Recipes[Name], Recipes[[#This Row],[Selected Sorted]]), "")</f>
        <v/>
      </c>
      <c r="X132" t="str">
        <f>IFERROR(INDEX(Recipes[Component], Recipes[[#This Row],[Selected Sorted]]), "")</f>
        <v/>
      </c>
      <c r="Y132" s="1" t="str">
        <f>IFERROR(INDEX(Recipes[Quantity], Recipes[[#This Row],[Selected Sorted]]), "")</f>
        <v/>
      </c>
      <c r="AA132" t="s">
        <v>7</v>
      </c>
      <c r="AB132" t="s">
        <v>8</v>
      </c>
      <c r="AC132">
        <v>5</v>
      </c>
      <c r="AD132" t="str">
        <f>IFERROR(IF(INDEX(Items[Selected Count], MATCH(Recipes2[[#This Row],[Name]], Items[Name], 0)) &gt; 0, ROW() - ROW(Recipes2[#Headers]), ""), "")</f>
        <v/>
      </c>
      <c r="AE132" t="str">
        <f>IFERROR(SMALL(Recipes2[Selected], ROW() - ROW(Recipes2[#Headers])), "")</f>
        <v/>
      </c>
      <c r="AF132" t="str">
        <f>IFERROR(INDEX(Recipes2[Name], Recipes2[[#This Row],[Selected Sorted]]), "")</f>
        <v/>
      </c>
      <c r="AG132" t="str">
        <f>IFERROR(INDEX(Recipes2[Component], Recipes2[[#This Row],[Selected Sorted]]), "")</f>
        <v/>
      </c>
      <c r="AH132" s="1" t="str">
        <f>IFERROR(INDEX(Recipes2[Quantity], Recipes2[[#This Row],[Selected Sorted]]), "")</f>
        <v/>
      </c>
    </row>
    <row r="133" spans="1:34" x14ac:dyDescent="0.25">
      <c r="A133" t="s">
        <v>104</v>
      </c>
      <c r="B133">
        <v>0.5</v>
      </c>
      <c r="C133">
        <f>MAX(Items[[#This Row],[Base Cycle Time]] / Items[[#This Row],[Speed]], MinInsertionTime) / Items[[#This Row],[Quantity Per Cycle]] / Items[[#This Row],[Bonus]]</f>
        <v>0.4</v>
      </c>
      <c r="D133" s="39">
        <v>1</v>
      </c>
      <c r="E133" t="s">
        <v>59</v>
      </c>
      <c r="F133" s="38">
        <f>INDEX(CraftingTypes[Speed], MATCH(Items[[#This Row],[Producer Type]], CraftingTypes[Producer Type], 0))</f>
        <v>1.25</v>
      </c>
      <c r="G133" s="38">
        <f>INDEX(CraftingTypes[Bonus], MATCH(Items[[#This Row],[Producer Type]], CraftingTypes[Producer Type], 0)) + 1</f>
        <v>1</v>
      </c>
      <c r="H133" s="38">
        <f>1 / Items[[#This Row],[Cycle Time for One]]</f>
        <v>2.5</v>
      </c>
      <c r="I133" s="36" t="b">
        <f>IFERROR(OR(Items[[#This Row],[Name]] = SelectedName, INDEX(CraftingTypes[Include], MATCH(Items[[#This Row],[Producer Type]], CraftingTypes[Producer Type], 0))), FALSE)</f>
        <v>1</v>
      </c>
      <c r="J133" s="38">
        <f>IF(Items[[#This Row],[Name]] = SelectedName, 1, IF(NOT(Items[[#This Row],[Include]]), 0, SUMIFS(RecipeTotals.Quantity, RecipeTotals.Name, SelectedName, RecipeTotals.Component, Items[[#This Row],[Name]])))</f>
        <v>0</v>
      </c>
      <c r="K133" s="38">
        <f>IFERROR(Items[[#This Row],[Selected Count]] / CycleTime.Actual, "")</f>
        <v>0</v>
      </c>
      <c r="L133" s="38">
        <f>IFERROR(Items[[#This Row],[Selected Per Second]] / Items[[#This Row],[Per Second]], "")</f>
        <v>0</v>
      </c>
      <c r="M133" s="38">
        <f>IFERROR(Items[[#This Row],[Selected Per Second]] / Items[[#This Row],[Per Second]], "")</f>
        <v>0</v>
      </c>
      <c r="N133" s="38">
        <f>IFERROR(CEILING(Items[[#This Row],[Fractional Producers for Selected Count]], 1), 0)</f>
        <v>0</v>
      </c>
      <c r="O133" s="38" t="str">
        <f>IF(AND(Items[[#This Row],[Producers For Selected Count]] &gt; 0, Items[[#This Row],[Include]]), ROW() - ROW(Items[#Headers]), "")</f>
        <v/>
      </c>
      <c r="P133" s="38" t="str">
        <f>IFERROR(SMALL(Items[Include Row Index], ROW() - ROW(Items[#Headers])), "")</f>
        <v/>
      </c>
      <c r="R133" t="s">
        <v>42</v>
      </c>
      <c r="S133" t="s">
        <v>8</v>
      </c>
      <c r="T133">
        <v>1</v>
      </c>
      <c r="U133" t="str">
        <f>IFERROR(IF(INDEX(Items[Selected Count], MATCH(Recipes[[#This Row],[Name]], Items[Name], 0)) &gt; 0, ROW() - ROW(Recipes[#Headers]), ""), "")</f>
        <v/>
      </c>
      <c r="V133" t="str">
        <f>IFERROR(SMALL(Recipes[Selected], ROW() - ROW(Recipes[#Headers])), "")</f>
        <v/>
      </c>
      <c r="W133" t="str">
        <f>IFERROR(INDEX(Recipes[Name], Recipes[[#This Row],[Selected Sorted]]), "")</f>
        <v/>
      </c>
      <c r="X133" t="str">
        <f>IFERROR(INDEX(Recipes[Component], Recipes[[#This Row],[Selected Sorted]]), "")</f>
        <v/>
      </c>
      <c r="Y133" s="1" t="str">
        <f>IFERROR(INDEX(Recipes[Quantity], Recipes[[#This Row],[Selected Sorted]]), "")</f>
        <v/>
      </c>
      <c r="AA133" t="s">
        <v>9</v>
      </c>
      <c r="AB133" t="s">
        <v>8</v>
      </c>
      <c r="AC133">
        <v>5</v>
      </c>
      <c r="AD133" t="str">
        <f>IFERROR(IF(INDEX(Items[Selected Count], MATCH(Recipes2[[#This Row],[Name]], Items[Name], 0)) &gt; 0, ROW() - ROW(Recipes2[#Headers]), ""), "")</f>
        <v/>
      </c>
      <c r="AE133" t="str">
        <f>IFERROR(SMALL(Recipes2[Selected], ROW() - ROW(Recipes2[#Headers])), "")</f>
        <v/>
      </c>
      <c r="AF133" t="str">
        <f>IFERROR(INDEX(Recipes2[Name], Recipes2[[#This Row],[Selected Sorted]]), "")</f>
        <v/>
      </c>
      <c r="AG133" t="str">
        <f>IFERROR(INDEX(Recipes2[Component], Recipes2[[#This Row],[Selected Sorted]]), "")</f>
        <v/>
      </c>
      <c r="AH133" s="1" t="str">
        <f>IFERROR(INDEX(Recipes2[Quantity], Recipes2[[#This Row],[Selected Sorted]]), "")</f>
        <v/>
      </c>
    </row>
    <row r="134" spans="1:34" x14ac:dyDescent="0.25">
      <c r="A134" t="s">
        <v>103</v>
      </c>
      <c r="B134">
        <v>0.5</v>
      </c>
      <c r="C134">
        <f>MAX(Items[[#This Row],[Base Cycle Time]] / Items[[#This Row],[Speed]], MinInsertionTime) / Items[[#This Row],[Quantity Per Cycle]] / Items[[#This Row],[Bonus]]</f>
        <v>0.4</v>
      </c>
      <c r="D134" s="39">
        <v>1</v>
      </c>
      <c r="E134" t="s">
        <v>59</v>
      </c>
      <c r="F134" s="38">
        <f>INDEX(CraftingTypes[Speed], MATCH(Items[[#This Row],[Producer Type]], CraftingTypes[Producer Type], 0))</f>
        <v>1.25</v>
      </c>
      <c r="G134" s="38">
        <f>INDEX(CraftingTypes[Bonus], MATCH(Items[[#This Row],[Producer Type]], CraftingTypes[Producer Type], 0)) + 1</f>
        <v>1</v>
      </c>
      <c r="H134" s="38">
        <f>1 / Items[[#This Row],[Cycle Time for One]]</f>
        <v>2.5</v>
      </c>
      <c r="I134" s="36" t="b">
        <f>IFERROR(OR(Items[[#This Row],[Name]] = SelectedName, INDEX(CraftingTypes[Include], MATCH(Items[[#This Row],[Producer Type]], CraftingTypes[Producer Type], 0))), FALSE)</f>
        <v>1</v>
      </c>
      <c r="J134" s="38">
        <f>IF(Items[[#This Row],[Name]] = SelectedName, 1, IF(NOT(Items[[#This Row],[Include]]), 0, SUMIFS(RecipeTotals.Quantity, RecipeTotals.Name, SelectedName, RecipeTotals.Component, Items[[#This Row],[Name]])))</f>
        <v>0</v>
      </c>
      <c r="K134" s="38">
        <f>IFERROR(Items[[#This Row],[Selected Count]] / CycleTime.Actual, "")</f>
        <v>0</v>
      </c>
      <c r="L134" s="38">
        <f>IFERROR(Items[[#This Row],[Selected Per Second]] / Items[[#This Row],[Per Second]], "")</f>
        <v>0</v>
      </c>
      <c r="M134" s="38">
        <f>IFERROR(Items[[#This Row],[Selected Per Second]] / Items[[#This Row],[Per Second]], "")</f>
        <v>0</v>
      </c>
      <c r="N134" s="38">
        <f>IFERROR(CEILING(Items[[#This Row],[Fractional Producers for Selected Count]], 1), 0)</f>
        <v>0</v>
      </c>
      <c r="O134" s="38" t="str">
        <f>IF(AND(Items[[#This Row],[Producers For Selected Count]] &gt; 0, Items[[#This Row],[Include]]), ROW() - ROW(Items[#Headers]), "")</f>
        <v/>
      </c>
      <c r="P134" s="38" t="str">
        <f>IFERROR(SMALL(Items[Include Row Index], ROW() - ROW(Items[#Headers])), "")</f>
        <v/>
      </c>
      <c r="R134" t="s">
        <v>42</v>
      </c>
      <c r="S134" t="s">
        <v>2</v>
      </c>
      <c r="T134">
        <v>1</v>
      </c>
      <c r="U134" t="str">
        <f>IFERROR(IF(INDEX(Items[Selected Count], MATCH(Recipes[[#This Row],[Name]], Items[Name], 0)) &gt; 0, ROW() - ROW(Recipes[#Headers]), ""), "")</f>
        <v/>
      </c>
      <c r="V134" t="str">
        <f>IFERROR(SMALL(Recipes[Selected], ROW() - ROW(Recipes[#Headers])), "")</f>
        <v/>
      </c>
      <c r="W134" t="str">
        <f>IFERROR(INDEX(Recipes[Name], Recipes[[#This Row],[Selected Sorted]]), "")</f>
        <v/>
      </c>
      <c r="X134" t="str">
        <f>IFERROR(INDEX(Recipes[Component], Recipes[[#This Row],[Selected Sorted]]), "")</f>
        <v/>
      </c>
      <c r="Y134" s="1" t="str">
        <f>IFERROR(INDEX(Recipes[Quantity], Recipes[[#This Row],[Selected Sorted]]), "")</f>
        <v/>
      </c>
      <c r="AA134" t="s">
        <v>101</v>
      </c>
      <c r="AB134" t="s">
        <v>8</v>
      </c>
      <c r="AC134">
        <v>3</v>
      </c>
      <c r="AD134" s="1" t="str">
        <f>IFERROR(IF(INDEX(Items[Selected Count], MATCH(Recipes2[[#This Row],[Name]], Items[Name], 0)) &gt; 0, ROW() - ROW(Recipes2[#Headers]), ""), "")</f>
        <v/>
      </c>
      <c r="AE134" s="1" t="str">
        <f>IFERROR(SMALL(Recipes2[Selected], ROW() - ROW(Recipes2[#Headers])), "")</f>
        <v/>
      </c>
      <c r="AF134" s="1" t="str">
        <f>IFERROR(INDEX(Recipes2[Name], Recipes2[[#This Row],[Selected Sorted]]), "")</f>
        <v/>
      </c>
      <c r="AG134" s="1" t="str">
        <f>IFERROR(INDEX(Recipes2[Component], Recipes2[[#This Row],[Selected Sorted]]), "")</f>
        <v/>
      </c>
      <c r="AH134" s="1" t="str">
        <f>IFERROR(INDEX(Recipes2[Quantity], Recipes2[[#This Row],[Selected Sorted]]), "")</f>
        <v/>
      </c>
    </row>
    <row r="135" spans="1:34" x14ac:dyDescent="0.25">
      <c r="R135" t="s">
        <v>140</v>
      </c>
      <c r="S135" t="s">
        <v>2</v>
      </c>
      <c r="T135">
        <v>3</v>
      </c>
      <c r="U135" s="1" t="str">
        <f>IFERROR(IF(INDEX(Items[Selected Count], MATCH(Recipes[[#This Row],[Name]], Items[Name], 0)) &gt; 0, ROW() - ROW(Recipes[#Headers]), ""), "")</f>
        <v/>
      </c>
      <c r="V135" s="1" t="str">
        <f>IFERROR(SMALL(Recipes[Selected], ROW() - ROW(Recipes[#Headers])), "")</f>
        <v/>
      </c>
      <c r="W135" s="1" t="str">
        <f>IFERROR(INDEX(Recipes[Name], Recipes[[#This Row],[Selected Sorted]]), "")</f>
        <v/>
      </c>
      <c r="X135" s="1" t="str">
        <f>IFERROR(INDEX(Recipes[Component], Recipes[[#This Row],[Selected Sorted]]), "")</f>
        <v/>
      </c>
      <c r="Y135" s="1" t="str">
        <f>IFERROR(INDEX(Recipes[Quantity], Recipes[[#This Row],[Selected Sorted]]), "")</f>
        <v/>
      </c>
      <c r="AA135" t="s">
        <v>159</v>
      </c>
      <c r="AB135" t="s">
        <v>8</v>
      </c>
      <c r="AC135">
        <v>10</v>
      </c>
      <c r="AD135" s="1" t="str">
        <f>IFERROR(IF(INDEX(Items[Selected Count], MATCH(Recipes2[[#This Row],[Name]], Items[Name], 0)) &gt; 0, ROW() - ROW(Recipes2[#Headers]), ""), "")</f>
        <v/>
      </c>
      <c r="AE135" s="1" t="str">
        <f>IFERROR(SMALL(Recipes2[Selected], ROW() - ROW(Recipes2[#Headers])), "")</f>
        <v/>
      </c>
      <c r="AF135" s="1" t="str">
        <f>IFERROR(INDEX(Recipes2[Name], Recipes2[[#This Row],[Selected Sorted]]), "")</f>
        <v/>
      </c>
      <c r="AG135" s="1" t="str">
        <f>IFERROR(INDEX(Recipes2[Component], Recipes2[[#This Row],[Selected Sorted]]), "")</f>
        <v/>
      </c>
      <c r="AH135" s="1" t="str">
        <f>IFERROR(INDEX(Recipes2[Quantity], Recipes2[[#This Row],[Selected Sorted]]), "")</f>
        <v/>
      </c>
    </row>
    <row r="136" spans="1:34" x14ac:dyDescent="0.25">
      <c r="R136" t="s">
        <v>140</v>
      </c>
      <c r="S136" t="s">
        <v>138</v>
      </c>
      <c r="T136">
        <v>2</v>
      </c>
      <c r="U136" s="1" t="str">
        <f>IFERROR(IF(INDEX(Items[Selected Count], MATCH(Recipes[[#This Row],[Name]], Items[Name], 0)) &gt; 0, ROW() - ROW(Recipes[#Headers]), ""), "")</f>
        <v/>
      </c>
      <c r="V136" s="1" t="str">
        <f>IFERROR(SMALL(Recipes[Selected], ROW() - ROW(Recipes[#Headers])), "")</f>
        <v/>
      </c>
      <c r="W136" s="1" t="str">
        <f>IFERROR(INDEX(Recipes[Name], Recipes[[#This Row],[Selected Sorted]]), "")</f>
        <v/>
      </c>
      <c r="X136" s="1" t="str">
        <f>IFERROR(INDEX(Recipes[Component], Recipes[[#This Row],[Selected Sorted]]), "")</f>
        <v/>
      </c>
      <c r="Y136" s="1" t="str">
        <f>IFERROR(INDEX(Recipes[Quantity], Recipes[[#This Row],[Selected Sorted]]), "")</f>
        <v/>
      </c>
      <c r="AA136" t="s">
        <v>149</v>
      </c>
      <c r="AB136" t="s">
        <v>8</v>
      </c>
      <c r="AC136">
        <v>100</v>
      </c>
      <c r="AD136" s="1" t="str">
        <f>IFERROR(IF(INDEX(Items[Selected Count], MATCH(Recipes2[[#This Row],[Name]], Items[Name], 0)) &gt; 0, ROW() - ROW(Recipes2[#Headers]), ""), "")</f>
        <v/>
      </c>
      <c r="AE136" s="1" t="str">
        <f>IFERROR(SMALL(Recipes2[Selected], ROW() - ROW(Recipes2[#Headers])), "")</f>
        <v/>
      </c>
      <c r="AF136" s="1" t="str">
        <f>IFERROR(INDEX(Recipes2[Name], Recipes2[[#This Row],[Selected Sorted]]), "")</f>
        <v/>
      </c>
      <c r="AG136" s="1" t="str">
        <f>IFERROR(INDEX(Recipes2[Component], Recipes2[[#This Row],[Selected Sorted]]), "")</f>
        <v/>
      </c>
      <c r="AH136" s="1" t="str">
        <f>IFERROR(INDEX(Recipes2[Quantity], Recipes2[[#This Row],[Selected Sorted]]), "")</f>
        <v/>
      </c>
    </row>
    <row r="137" spans="1:34" x14ac:dyDescent="0.25">
      <c r="R137" t="s">
        <v>106</v>
      </c>
      <c r="S137" t="s">
        <v>2</v>
      </c>
      <c r="T137">
        <v>8</v>
      </c>
      <c r="U137" s="1" t="str">
        <f>IFERROR(IF(INDEX(Items[Selected Count], MATCH(Recipes[[#This Row],[Name]], Items[Name], 0)) &gt; 0, ROW() - ROW(Recipes[#Headers]), ""), "")</f>
        <v/>
      </c>
      <c r="V137" s="1" t="str">
        <f>IFERROR(SMALL(Recipes[Selected], ROW() - ROW(Recipes[#Headers])), "")</f>
        <v/>
      </c>
      <c r="W137" s="1" t="str">
        <f>IFERROR(INDEX(Recipes[Name], Recipes[[#This Row],[Selected Sorted]]), "")</f>
        <v/>
      </c>
      <c r="X137" s="1" t="str">
        <f>IFERROR(INDEX(Recipes[Component], Recipes[[#This Row],[Selected Sorted]]), "")</f>
        <v/>
      </c>
      <c r="Y137" s="1" t="str">
        <f>IFERROR(INDEX(Recipes[Quantity], Recipes[[#This Row],[Selected Sorted]]), "")</f>
        <v/>
      </c>
      <c r="AA137" t="s">
        <v>60</v>
      </c>
      <c r="AB137" t="s">
        <v>8</v>
      </c>
      <c r="AC137">
        <v>5</v>
      </c>
      <c r="AD137" s="1" t="str">
        <f>IFERROR(IF(INDEX(Items[Selected Count], MATCH(Recipes2[[#This Row],[Name]], Items[Name], 0)) &gt; 0, ROW() - ROW(Recipes2[#Headers]), ""), "")</f>
        <v/>
      </c>
      <c r="AE137" s="1" t="str">
        <f>IFERROR(SMALL(Recipes2[Selected], ROW() - ROW(Recipes2[#Headers])), "")</f>
        <v/>
      </c>
      <c r="AF137" s="1" t="str">
        <f>IFERROR(INDEX(Recipes2[Name], Recipes2[[#This Row],[Selected Sorted]]), "")</f>
        <v/>
      </c>
      <c r="AG137" s="1" t="str">
        <f>IFERROR(INDEX(Recipes2[Component], Recipes2[[#This Row],[Selected Sorted]]), "")</f>
        <v/>
      </c>
      <c r="AH137" s="1" t="str">
        <f>IFERROR(INDEX(Recipes2[Quantity], Recipes2[[#This Row],[Selected Sorted]]), "")</f>
        <v/>
      </c>
    </row>
    <row r="138" spans="1:34" x14ac:dyDescent="0.25">
      <c r="R138" t="s">
        <v>8</v>
      </c>
      <c r="S138" t="s">
        <v>2</v>
      </c>
      <c r="T138">
        <v>2</v>
      </c>
      <c r="U138" t="str">
        <f>IFERROR(IF(INDEX(Items[Selected Count], MATCH(Recipes[[#This Row],[Name]], Items[Name], 0)) &gt; 0, ROW() - ROW(Recipes[#Headers]), ""), "")</f>
        <v/>
      </c>
      <c r="V138" t="str">
        <f>IFERROR(SMALL(Recipes[Selected], ROW() - ROW(Recipes[#Headers])), "")</f>
        <v/>
      </c>
      <c r="W138" t="str">
        <f>IFERROR(INDEX(Recipes[Name], Recipes[[#This Row],[Selected Sorted]]), "")</f>
        <v/>
      </c>
      <c r="X138" t="str">
        <f>IFERROR(INDEX(Recipes[Component], Recipes[[#This Row],[Selected Sorted]]), "")</f>
        <v/>
      </c>
      <c r="Y138" s="1" t="str">
        <f>IFERROR(INDEX(Recipes[Quantity], Recipes[[#This Row],[Selected Sorted]]), "")</f>
        <v/>
      </c>
      <c r="AA138" t="s">
        <v>122</v>
      </c>
      <c r="AB138" t="s">
        <v>8</v>
      </c>
      <c r="AC138">
        <v>3</v>
      </c>
      <c r="AD138" s="1" t="str">
        <f>IFERROR(IF(INDEX(Items[Selected Count], MATCH(Recipes2[[#This Row],[Name]], Items[Name], 0)) &gt; 0, ROW() - ROW(Recipes2[#Headers]), ""), "")</f>
        <v/>
      </c>
      <c r="AE138" s="1" t="str">
        <f>IFERROR(SMALL(Recipes2[Selected], ROW() - ROW(Recipes2[#Headers])), "")</f>
        <v/>
      </c>
      <c r="AF138" s="1" t="str">
        <f>IFERROR(INDEX(Recipes2[Name], Recipes2[[#This Row],[Selected Sorted]]), "")</f>
        <v/>
      </c>
      <c r="AG138" s="1" t="str">
        <f>IFERROR(INDEX(Recipes2[Component], Recipes2[[#This Row],[Selected Sorted]]), "")</f>
        <v/>
      </c>
      <c r="AH138" s="1" t="str">
        <f>IFERROR(INDEX(Recipes2[Quantity], Recipes2[[#This Row],[Selected Sorted]]), "")</f>
        <v/>
      </c>
    </row>
    <row r="139" spans="1:34" x14ac:dyDescent="0.25">
      <c r="R139" t="s">
        <v>2</v>
      </c>
      <c r="S139" t="s">
        <v>85</v>
      </c>
      <c r="T139">
        <v>1</v>
      </c>
      <c r="U139" s="1">
        <f>IFERROR(IF(INDEX(Items[Selected Count], MATCH(Recipes[[#This Row],[Name]], Items[Name], 0)) &gt; 0, ROW() - ROW(Recipes[#Headers]), ""), "")</f>
        <v>138</v>
      </c>
      <c r="V139" s="1" t="str">
        <f>IFERROR(SMALL(Recipes[Selected], ROW() - ROW(Recipes[#Headers])), "")</f>
        <v/>
      </c>
      <c r="W139" s="1" t="str">
        <f>IFERROR(INDEX(Recipes[Name], Recipes[[#This Row],[Selected Sorted]]), "")</f>
        <v/>
      </c>
      <c r="X139" s="1" t="str">
        <f>IFERROR(INDEX(Recipes[Component], Recipes[[#This Row],[Selected Sorted]]), "")</f>
        <v/>
      </c>
      <c r="Y139" s="1" t="str">
        <f>IFERROR(INDEX(Recipes[Quantity], Recipes[[#This Row],[Selected Sorted]]), "")</f>
        <v/>
      </c>
      <c r="AA139" t="s">
        <v>87</v>
      </c>
      <c r="AB139" t="s">
        <v>8</v>
      </c>
      <c r="AC139">
        <v>5</v>
      </c>
      <c r="AD139" s="1" t="str">
        <f>IFERROR(IF(INDEX(Items[Selected Count], MATCH(Recipes2[[#This Row],[Name]], Items[Name], 0)) &gt; 0, ROW() - ROW(Recipes2[#Headers]), ""), "")</f>
        <v/>
      </c>
      <c r="AE139" s="1" t="str">
        <f>IFERROR(SMALL(Recipes2[Selected], ROW() - ROW(Recipes2[#Headers])), "")</f>
        <v/>
      </c>
      <c r="AF139" s="1" t="str">
        <f>IFERROR(INDEX(Recipes2[Name], Recipes2[[#This Row],[Selected Sorted]]), "")</f>
        <v/>
      </c>
      <c r="AG139" s="1" t="str">
        <f>IFERROR(INDEX(Recipes2[Component], Recipes2[[#This Row],[Selected Sorted]]), "")</f>
        <v/>
      </c>
      <c r="AH139" s="1" t="str">
        <f>IFERROR(INDEX(Recipes2[Quantity], Recipes2[[#This Row],[Selected Sorted]]), "")</f>
        <v/>
      </c>
    </row>
    <row r="140" spans="1:34" x14ac:dyDescent="0.25">
      <c r="R140" t="s">
        <v>138</v>
      </c>
      <c r="S140" t="s">
        <v>2</v>
      </c>
      <c r="T140">
        <v>1</v>
      </c>
      <c r="U140" s="1" t="str">
        <f>IFERROR(IF(INDEX(Items[Selected Count], MATCH(Recipes[[#This Row],[Name]], Items[Name], 0)) &gt; 0, ROW() - ROW(Recipes[#Headers]), ""), "")</f>
        <v/>
      </c>
      <c r="V140" s="1" t="str">
        <f>IFERROR(SMALL(Recipes[Selected], ROW() - ROW(Recipes[#Headers])), "")</f>
        <v/>
      </c>
      <c r="W140" s="1" t="str">
        <f>IFERROR(INDEX(Recipes[Name], Recipes[[#This Row],[Selected Sorted]]), "")</f>
        <v/>
      </c>
      <c r="X140" s="1" t="str">
        <f>IFERROR(INDEX(Recipes[Component], Recipes[[#This Row],[Selected Sorted]]), "")</f>
        <v/>
      </c>
      <c r="Y140" s="1" t="str">
        <f>IFERROR(INDEX(Recipes[Quantity], Recipes[[#This Row],[Selected Sorted]]), "")</f>
        <v/>
      </c>
      <c r="AA140" t="s">
        <v>53</v>
      </c>
      <c r="AB140" t="s">
        <v>8</v>
      </c>
      <c r="AC140">
        <v>1</v>
      </c>
      <c r="AD140" t="str">
        <f>IFERROR(IF(INDEX(Items[Selected Count], MATCH(Recipes2[[#This Row],[Name]], Items[Name], 0)) &gt; 0, ROW() - ROW(Recipes2[#Headers]), ""), "")</f>
        <v/>
      </c>
      <c r="AE140" t="str">
        <f>IFERROR(SMALL(Recipes2[Selected], ROW() - ROW(Recipes2[#Headers])), "")</f>
        <v/>
      </c>
      <c r="AF140" t="str">
        <f>IFERROR(INDEX(Recipes2[Name], Recipes2[[#This Row],[Selected Sorted]]), "")</f>
        <v/>
      </c>
      <c r="AG140" t="str">
        <f>IFERROR(INDEX(Recipes2[Component], Recipes2[[#This Row],[Selected Sorted]]), "")</f>
        <v/>
      </c>
      <c r="AH140" s="1" t="str">
        <f>IFERROR(INDEX(Recipes2[Quantity], Recipes2[[#This Row],[Selected Sorted]]), "")</f>
        <v/>
      </c>
    </row>
    <row r="141" spans="1:34" x14ac:dyDescent="0.25">
      <c r="R141" t="s">
        <v>150</v>
      </c>
      <c r="S141" t="s">
        <v>5</v>
      </c>
      <c r="T141">
        <v>10</v>
      </c>
      <c r="U141" s="1" t="str">
        <f>IFERROR(IF(INDEX(Items[Selected Count], MATCH(Recipes[[#This Row],[Name]], Items[Name], 0)) &gt; 0, ROW() - ROW(Recipes[#Headers]), ""), "")</f>
        <v/>
      </c>
      <c r="V141" s="1" t="str">
        <f>IFERROR(SMALL(Recipes[Selected], ROW() - ROW(Recipes[#Headers])), "")</f>
        <v/>
      </c>
      <c r="W141" s="1" t="str">
        <f>IFERROR(INDEX(Recipes[Name], Recipes[[#This Row],[Selected Sorted]]), "")</f>
        <v/>
      </c>
      <c r="X141" s="1" t="str">
        <f>IFERROR(INDEX(Recipes[Component], Recipes[[#This Row],[Selected Sorted]]), "")</f>
        <v/>
      </c>
      <c r="Y141" s="1" t="str">
        <f>IFERROR(INDEX(Recipes[Quantity], Recipes[[#This Row],[Selected Sorted]]), "")</f>
        <v/>
      </c>
      <c r="AA141" t="s">
        <v>32</v>
      </c>
      <c r="AB141" t="s">
        <v>8</v>
      </c>
      <c r="AC141">
        <v>10</v>
      </c>
      <c r="AD141" t="str">
        <f>IFERROR(IF(INDEX(Items[Selected Count], MATCH(Recipes2[[#This Row],[Name]], Items[Name], 0)) &gt; 0, ROW() - ROW(Recipes2[#Headers]), ""), "")</f>
        <v/>
      </c>
      <c r="AE141" t="str">
        <f>IFERROR(SMALL(Recipes2[Selected], ROW() - ROW(Recipes2[#Headers])), "")</f>
        <v/>
      </c>
      <c r="AF141" t="str">
        <f>IFERROR(INDEX(Recipes2[Name], Recipes2[[#This Row],[Selected Sorted]]), "")</f>
        <v/>
      </c>
      <c r="AG141" t="str">
        <f>IFERROR(INDEX(Recipes2[Component], Recipes2[[#This Row],[Selected Sorted]]), "")</f>
        <v/>
      </c>
      <c r="AH141" s="1" t="str">
        <f>IFERROR(INDEX(Recipes2[Quantity], Recipes2[[#This Row],[Selected Sorted]]), "")</f>
        <v/>
      </c>
    </row>
    <row r="142" spans="1:34" x14ac:dyDescent="0.25">
      <c r="R142" t="s">
        <v>150</v>
      </c>
      <c r="S142" t="s">
        <v>8</v>
      </c>
      <c r="T142">
        <v>10</v>
      </c>
      <c r="U142" s="1" t="str">
        <f>IFERROR(IF(INDEX(Items[Selected Count], MATCH(Recipes[[#This Row],[Name]], Items[Name], 0)) &gt; 0, ROW() - ROW(Recipes[#Headers]), ""), "")</f>
        <v/>
      </c>
      <c r="V142" s="1" t="str">
        <f>IFERROR(SMALL(Recipes[Selected], ROW() - ROW(Recipes[#Headers])), "")</f>
        <v/>
      </c>
      <c r="W142" s="1" t="str">
        <f>IFERROR(INDEX(Recipes[Name], Recipes[[#This Row],[Selected Sorted]]), "")</f>
        <v/>
      </c>
      <c r="X142" s="1" t="str">
        <f>IFERROR(INDEX(Recipes[Component], Recipes[[#This Row],[Selected Sorted]]), "")</f>
        <v/>
      </c>
      <c r="Y142" s="1" t="str">
        <f>IFERROR(INDEX(Recipes[Quantity], Recipes[[#This Row],[Selected Sorted]]), "")</f>
        <v/>
      </c>
      <c r="AA142" t="s">
        <v>26</v>
      </c>
      <c r="AB142" t="s">
        <v>8</v>
      </c>
      <c r="AC142">
        <v>5</v>
      </c>
      <c r="AD142" t="str">
        <f>IFERROR(IF(INDEX(Items[Selected Count], MATCH(Recipes2[[#This Row],[Name]], Items[Name], 0)) &gt; 0, ROW() - ROW(Recipes2[#Headers]), ""), "")</f>
        <v/>
      </c>
      <c r="AE142" t="str">
        <f>IFERROR(SMALL(Recipes2[Selected], ROW() - ROW(Recipes2[#Headers])), "")</f>
        <v/>
      </c>
      <c r="AF142" t="str">
        <f>IFERROR(INDEX(Recipes2[Name], Recipes2[[#This Row],[Selected Sorted]]), "")</f>
        <v/>
      </c>
      <c r="AG142" t="str">
        <f>IFERROR(INDEX(Recipes2[Component], Recipes2[[#This Row],[Selected Sorted]]), "")</f>
        <v/>
      </c>
      <c r="AH142" s="1" t="str">
        <f>IFERROR(INDEX(Recipes2[Quantity], Recipes2[[#This Row],[Selected Sorted]]), "")</f>
        <v/>
      </c>
    </row>
    <row r="143" spans="1:34" x14ac:dyDescent="0.25">
      <c r="R143" t="s">
        <v>150</v>
      </c>
      <c r="S143" t="s">
        <v>24</v>
      </c>
      <c r="T143">
        <v>4</v>
      </c>
      <c r="U143" s="1" t="str">
        <f>IFERROR(IF(INDEX(Items[Selected Count], MATCH(Recipes[[#This Row],[Name]], Items[Name], 0)) &gt; 0, ROW() - ROW(Recipes[#Headers]), ""), "")</f>
        <v/>
      </c>
      <c r="V143" s="1" t="str">
        <f>IFERROR(SMALL(Recipes[Selected], ROW() - ROW(Recipes[#Headers])), "")</f>
        <v/>
      </c>
      <c r="W143" s="1" t="str">
        <f>IFERROR(INDEX(Recipes[Name], Recipes[[#This Row],[Selected Sorted]]), "")</f>
        <v/>
      </c>
      <c r="X143" s="1" t="str">
        <f>IFERROR(INDEX(Recipes[Component], Recipes[[#This Row],[Selected Sorted]]), "")</f>
        <v/>
      </c>
      <c r="Y143" s="1" t="str">
        <f>IFERROR(INDEX(Recipes[Quantity], Recipes[[#This Row],[Selected Sorted]]), "")</f>
        <v/>
      </c>
      <c r="AA143" t="s">
        <v>29</v>
      </c>
      <c r="AB143" t="s">
        <v>8</v>
      </c>
      <c r="AC143">
        <v>40</v>
      </c>
      <c r="AD143" t="str">
        <f>IFERROR(IF(INDEX(Items[Selected Count], MATCH(Recipes2[[#This Row],[Name]], Items[Name], 0)) &gt; 0, ROW() - ROW(Recipes2[#Headers]), ""), "")</f>
        <v/>
      </c>
      <c r="AE143" t="str">
        <f>IFERROR(SMALL(Recipes2[Selected], ROW() - ROW(Recipes2[#Headers])), "")</f>
        <v/>
      </c>
      <c r="AF143" t="str">
        <f>IFERROR(INDEX(Recipes2[Name], Recipes2[[#This Row],[Selected Sorted]]), "")</f>
        <v/>
      </c>
      <c r="AG143" t="str">
        <f>IFERROR(INDEX(Recipes2[Component], Recipes2[[#This Row],[Selected Sorted]]), "")</f>
        <v/>
      </c>
      <c r="AH143" s="1" t="str">
        <f>IFERROR(INDEX(Recipes2[Quantity], Recipes2[[#This Row],[Selected Sorted]]), "")</f>
        <v/>
      </c>
    </row>
    <row r="144" spans="1:34" x14ac:dyDescent="0.25">
      <c r="R144" t="s">
        <v>168</v>
      </c>
      <c r="S144" t="s">
        <v>84</v>
      </c>
      <c r="T144">
        <v>20</v>
      </c>
      <c r="U144" s="1" t="str">
        <f>IFERROR(IF(INDEX(Items[Selected Count], MATCH(Recipes[[#This Row],[Name]], Items[Name], 0)) &gt; 0, ROW() - ROW(Recipes[#Headers]), ""), "")</f>
        <v/>
      </c>
      <c r="V144" s="1" t="str">
        <f>IFERROR(SMALL(Recipes[Selected], ROW() - ROW(Recipes[#Headers])), "")</f>
        <v/>
      </c>
      <c r="W144" s="1" t="str">
        <f>IFERROR(INDEX(Recipes[Name], Recipes[[#This Row],[Selected Sorted]]), "")</f>
        <v/>
      </c>
      <c r="X144" s="1" t="str">
        <f>IFERROR(INDEX(Recipes[Component], Recipes[[#This Row],[Selected Sorted]]), "")</f>
        <v/>
      </c>
      <c r="Y144" s="1" t="str">
        <f>IFERROR(INDEX(Recipes[Quantity], Recipes[[#This Row],[Selected Sorted]]), "")</f>
        <v/>
      </c>
      <c r="AA144" t="s">
        <v>31</v>
      </c>
      <c r="AB144" t="s">
        <v>8</v>
      </c>
      <c r="AC144">
        <v>10</v>
      </c>
      <c r="AD144" t="str">
        <f>IFERROR(IF(INDEX(Items[Selected Count], MATCH(Recipes2[[#This Row],[Name]], Items[Name], 0)) &gt; 0, ROW() - ROW(Recipes2[#Headers]), ""), "")</f>
        <v/>
      </c>
      <c r="AE144" t="str">
        <f>IFERROR(SMALL(Recipes2[Selected], ROW() - ROW(Recipes2[#Headers])), "")</f>
        <v/>
      </c>
      <c r="AF144" t="str">
        <f>IFERROR(INDEX(Recipes2[Name], Recipes2[[#This Row],[Selected Sorted]]), "")</f>
        <v/>
      </c>
      <c r="AG144" t="str">
        <f>IFERROR(INDEX(Recipes2[Component], Recipes2[[#This Row],[Selected Sorted]]), "")</f>
        <v/>
      </c>
      <c r="AH144" s="1" t="str">
        <f>IFERROR(INDEX(Recipes2[Quantity], Recipes2[[#This Row],[Selected Sorted]]), "")</f>
        <v/>
      </c>
    </row>
    <row r="145" spans="18:34" x14ac:dyDescent="0.25">
      <c r="R145" t="s">
        <v>111</v>
      </c>
      <c r="S145" t="s">
        <v>52</v>
      </c>
      <c r="T145">
        <v>12</v>
      </c>
      <c r="U145" s="1" t="str">
        <f>IFERROR(IF(INDEX(Items[Selected Count], MATCH(Recipes[[#This Row],[Name]], Items[Name], 0)) &gt; 0, ROW() - ROW(Recipes[#Headers]), ""), "")</f>
        <v/>
      </c>
      <c r="V145" s="1" t="str">
        <f>IFERROR(SMALL(Recipes[Selected], ROW() - ROW(Recipes[#Headers])), "")</f>
        <v/>
      </c>
      <c r="W145" s="1" t="str">
        <f>IFERROR(INDEX(Recipes[Name], Recipes[[#This Row],[Selected Sorted]]), "")</f>
        <v/>
      </c>
      <c r="X145" s="1" t="str">
        <f>IFERROR(INDEX(Recipes[Component], Recipes[[#This Row],[Selected Sorted]]), "")</f>
        <v/>
      </c>
      <c r="Y145" s="1" t="str">
        <f>IFERROR(INDEX(Recipes[Quantity], Recipes[[#This Row],[Selected Sorted]]), "")</f>
        <v/>
      </c>
      <c r="AA145" t="s">
        <v>25</v>
      </c>
      <c r="AB145" t="s">
        <v>8</v>
      </c>
      <c r="AC145">
        <v>5</v>
      </c>
      <c r="AD145" t="str">
        <f>IFERROR(IF(INDEX(Items[Selected Count], MATCH(Recipes2[[#This Row],[Name]], Items[Name], 0)) &gt; 0, ROW() - ROW(Recipes2[#Headers]), ""), "")</f>
        <v/>
      </c>
      <c r="AE145" t="str">
        <f>IFERROR(SMALL(Recipes2[Selected], ROW() - ROW(Recipes2[#Headers])), "")</f>
        <v/>
      </c>
      <c r="AF145" t="str">
        <f>IFERROR(INDEX(Recipes2[Name], Recipes2[[#This Row],[Selected Sorted]]), "")</f>
        <v/>
      </c>
      <c r="AG145" t="str">
        <f>IFERROR(INDEX(Recipes2[Component], Recipes2[[#This Row],[Selected Sorted]]), "")</f>
        <v/>
      </c>
      <c r="AH145" s="1" t="str">
        <f>IFERROR(INDEX(Recipes2[Quantity], Recipes2[[#This Row],[Selected Sorted]]), "")</f>
        <v/>
      </c>
    </row>
    <row r="146" spans="18:34" x14ac:dyDescent="0.25">
      <c r="R146" t="s">
        <v>111</v>
      </c>
      <c r="S146" t="s">
        <v>5</v>
      </c>
      <c r="T146">
        <v>20</v>
      </c>
      <c r="U146" s="1" t="str">
        <f>IFERROR(IF(INDEX(Items[Selected Count], MATCH(Recipes[[#This Row],[Name]], Items[Name], 0)) &gt; 0, ROW() - ROW(Recipes[#Headers]), ""), "")</f>
        <v/>
      </c>
      <c r="V146" s="1" t="str">
        <f>IFERROR(SMALL(Recipes[Selected], ROW() - ROW(Recipes[#Headers])), "")</f>
        <v/>
      </c>
      <c r="W146" s="1" t="str">
        <f>IFERROR(INDEX(Recipes[Name], Recipes[[#This Row],[Selected Sorted]]), "")</f>
        <v/>
      </c>
      <c r="X146" s="1" t="str">
        <f>IFERROR(INDEX(Recipes[Component], Recipes[[#This Row],[Selected Sorted]]), "")</f>
        <v/>
      </c>
      <c r="Y146" s="1" t="str">
        <f>IFERROR(INDEX(Recipes[Quantity], Recipes[[#This Row],[Selected Sorted]]), "")</f>
        <v/>
      </c>
      <c r="AA146" t="s">
        <v>28</v>
      </c>
      <c r="AB146" t="s">
        <v>8</v>
      </c>
      <c r="AC146">
        <v>20</v>
      </c>
      <c r="AD146" t="str">
        <f>IFERROR(IF(INDEX(Items[Selected Count], MATCH(Recipes2[[#This Row],[Name]], Items[Name], 0)) &gt; 0, ROW() - ROW(Recipes2[#Headers]), ""), "")</f>
        <v/>
      </c>
      <c r="AE146" t="str">
        <f>IFERROR(SMALL(Recipes2[Selected], ROW() - ROW(Recipes2[#Headers])), "")</f>
        <v/>
      </c>
      <c r="AF146" t="str">
        <f>IFERROR(INDEX(Recipes2[Name], Recipes2[[#This Row],[Selected Sorted]]), "")</f>
        <v/>
      </c>
      <c r="AG146" t="str">
        <f>IFERROR(INDEX(Recipes2[Component], Recipes2[[#This Row],[Selected Sorted]]), "")</f>
        <v/>
      </c>
      <c r="AH146" s="1" t="str">
        <f>IFERROR(INDEX(Recipes2[Quantity], Recipes2[[#This Row],[Selected Sorted]]), "")</f>
        <v/>
      </c>
    </row>
    <row r="147" spans="18:34" x14ac:dyDescent="0.25">
      <c r="R147" t="s">
        <v>111</v>
      </c>
      <c r="S147" t="s">
        <v>35</v>
      </c>
      <c r="T147">
        <v>20</v>
      </c>
      <c r="U147" s="1" t="str">
        <f>IFERROR(IF(INDEX(Items[Selected Count], MATCH(Recipes[[#This Row],[Name]], Items[Name], 0)) &gt; 0, ROW() - ROW(Recipes[#Headers]), ""), "")</f>
        <v/>
      </c>
      <c r="V147" s="1" t="str">
        <f>IFERROR(SMALL(Recipes[Selected], ROW() - ROW(Recipes[#Headers])), "")</f>
        <v/>
      </c>
      <c r="W147" s="1" t="str">
        <f>IFERROR(INDEX(Recipes[Name], Recipes[[#This Row],[Selected Sorted]]), "")</f>
        <v/>
      </c>
      <c r="X147" s="1" t="str">
        <f>IFERROR(INDEX(Recipes[Component], Recipes[[#This Row],[Selected Sorted]]), "")</f>
        <v/>
      </c>
      <c r="Y147" s="1" t="str">
        <f>IFERROR(INDEX(Recipes[Quantity], Recipes[[#This Row],[Selected Sorted]]), "")</f>
        <v/>
      </c>
      <c r="AA147" t="s">
        <v>160</v>
      </c>
      <c r="AB147" t="s">
        <v>8</v>
      </c>
      <c r="AC147">
        <v>10</v>
      </c>
      <c r="AD147" s="1" t="str">
        <f>IFERROR(IF(INDEX(Items[Selected Count], MATCH(Recipes2[[#This Row],[Name]], Items[Name], 0)) &gt; 0, ROW() - ROW(Recipes2[#Headers]), ""), "")</f>
        <v/>
      </c>
      <c r="AE147" s="1" t="str">
        <f>IFERROR(SMALL(Recipes2[Selected], ROW() - ROW(Recipes2[#Headers])), "")</f>
        <v/>
      </c>
      <c r="AF147" s="1" t="str">
        <f>IFERROR(INDEX(Recipes2[Name], Recipes2[[#This Row],[Selected Sorted]]), "")</f>
        <v/>
      </c>
      <c r="AG147" s="1" t="str">
        <f>IFERROR(INDEX(Recipes2[Component], Recipes2[[#This Row],[Selected Sorted]]), "")</f>
        <v/>
      </c>
      <c r="AH147" s="1" t="str">
        <f>IFERROR(INDEX(Recipes2[Quantity], Recipes2[[#This Row],[Selected Sorted]]), "")</f>
        <v/>
      </c>
    </row>
    <row r="148" spans="18:34" x14ac:dyDescent="0.25">
      <c r="R148" t="s">
        <v>158</v>
      </c>
      <c r="S148" t="s">
        <v>5</v>
      </c>
      <c r="T148">
        <v>20</v>
      </c>
      <c r="U148" s="1" t="str">
        <f>IFERROR(IF(INDEX(Items[Selected Count], MATCH(Recipes[[#This Row],[Name]], Items[Name], 0)) &gt; 0, ROW() - ROW(Recipes[#Headers]), ""), "")</f>
        <v/>
      </c>
      <c r="V148" s="1" t="str">
        <f>IFERROR(SMALL(Recipes[Selected], ROW() - ROW(Recipes[#Headers])), "")</f>
        <v/>
      </c>
      <c r="W148" s="1" t="str">
        <f>IFERROR(INDEX(Recipes[Name], Recipes[[#This Row],[Selected Sorted]]), "")</f>
        <v/>
      </c>
      <c r="X148" s="1" t="str">
        <f>IFERROR(INDEX(Recipes[Component], Recipes[[#This Row],[Selected Sorted]]), "")</f>
        <v/>
      </c>
      <c r="Y148" s="1" t="str">
        <f>IFERROR(INDEX(Recipes[Quantity], Recipes[[#This Row],[Selected Sorted]]), "")</f>
        <v/>
      </c>
      <c r="AA148" t="s">
        <v>36</v>
      </c>
      <c r="AB148" t="s">
        <v>8</v>
      </c>
      <c r="AC148">
        <v>10</v>
      </c>
      <c r="AD148" t="str">
        <f>IFERROR(IF(INDEX(Items[Selected Count], MATCH(Recipes2[[#This Row],[Name]], Items[Name], 0)) &gt; 0, ROW() - ROW(Recipes2[#Headers]), ""), "")</f>
        <v/>
      </c>
      <c r="AE148" t="str">
        <f>IFERROR(SMALL(Recipes2[Selected], ROW() - ROW(Recipes2[#Headers])), "")</f>
        <v/>
      </c>
      <c r="AF148" t="str">
        <f>IFERROR(INDEX(Recipes2[Name], Recipes2[[#This Row],[Selected Sorted]]), "")</f>
        <v/>
      </c>
      <c r="AG148" t="str">
        <f>IFERROR(INDEX(Recipes2[Component], Recipes2[[#This Row],[Selected Sorted]]), "")</f>
        <v/>
      </c>
      <c r="AH148" s="1" t="str">
        <f>IFERROR(INDEX(Recipes2[Quantity], Recipes2[[#This Row],[Selected Sorted]]), "")</f>
        <v/>
      </c>
    </row>
    <row r="149" spans="18:34" x14ac:dyDescent="0.25">
      <c r="R149" t="s">
        <v>158</v>
      </c>
      <c r="S149" t="s">
        <v>53</v>
      </c>
      <c r="T149">
        <v>20</v>
      </c>
      <c r="U149" s="1" t="str">
        <f>IFERROR(IF(INDEX(Items[Selected Count], MATCH(Recipes[[#This Row],[Name]], Items[Name], 0)) &gt; 0, ROW() - ROW(Recipes[#Headers]), ""), "")</f>
        <v/>
      </c>
      <c r="V149" s="1" t="str">
        <f>IFERROR(SMALL(Recipes[Selected], ROW() - ROW(Recipes[#Headers])), "")</f>
        <v/>
      </c>
      <c r="W149" s="1" t="str">
        <f>IFERROR(INDEX(Recipes[Name], Recipes[[#This Row],[Selected Sorted]]), "")</f>
        <v/>
      </c>
      <c r="X149" s="1" t="str">
        <f>IFERROR(INDEX(Recipes[Component], Recipes[[#This Row],[Selected Sorted]]), "")</f>
        <v/>
      </c>
      <c r="Y149" s="1" t="str">
        <f>IFERROR(INDEX(Recipes[Quantity], Recipes[[#This Row],[Selected Sorted]]), "")</f>
        <v/>
      </c>
      <c r="AA149" t="s">
        <v>42</v>
      </c>
      <c r="AB149" t="s">
        <v>8</v>
      </c>
      <c r="AC149">
        <v>1</v>
      </c>
      <c r="AD149" t="str">
        <f>IFERROR(IF(INDEX(Items[Selected Count], MATCH(Recipes2[[#This Row],[Name]], Items[Name], 0)) &gt; 0, ROW() - ROW(Recipes2[#Headers]), ""), "")</f>
        <v/>
      </c>
      <c r="AE149" t="str">
        <f>IFERROR(SMALL(Recipes2[Selected], ROW() - ROW(Recipes2[#Headers])), "")</f>
        <v/>
      </c>
      <c r="AF149" t="str">
        <f>IFERROR(INDEX(Recipes2[Name], Recipes2[[#This Row],[Selected Sorted]]), "")</f>
        <v/>
      </c>
      <c r="AG149" t="str">
        <f>IFERROR(INDEX(Recipes2[Component], Recipes2[[#This Row],[Selected Sorted]]), "")</f>
        <v/>
      </c>
      <c r="AH149" s="1" t="str">
        <f>IFERROR(INDEX(Recipes2[Quantity], Recipes2[[#This Row],[Selected Sorted]]), "")</f>
        <v/>
      </c>
    </row>
    <row r="150" spans="18:34" x14ac:dyDescent="0.25">
      <c r="R150" t="s">
        <v>158</v>
      </c>
      <c r="S150" t="s">
        <v>35</v>
      </c>
      <c r="T150">
        <v>30</v>
      </c>
      <c r="U150" s="1" t="str">
        <f>IFERROR(IF(INDEX(Items[Selected Count], MATCH(Recipes[[#This Row],[Name]], Items[Name], 0)) &gt; 0, ROW() - ROW(Recipes[#Headers]), ""), "")</f>
        <v/>
      </c>
      <c r="V150" s="1" t="str">
        <f>IFERROR(SMALL(Recipes[Selected], ROW() - ROW(Recipes[#Headers])), "")</f>
        <v/>
      </c>
      <c r="W150" s="1" t="str">
        <f>IFERROR(INDEX(Recipes[Name], Recipes[[#This Row],[Selected Sorted]]), "")</f>
        <v/>
      </c>
      <c r="X150" s="1" t="str">
        <f>IFERROR(INDEX(Recipes[Component], Recipes[[#This Row],[Selected Sorted]]), "")</f>
        <v/>
      </c>
      <c r="Y150" s="1" t="str">
        <f>IFERROR(INDEX(Recipes[Quantity], Recipes[[#This Row],[Selected Sorted]]), "")</f>
        <v/>
      </c>
      <c r="AA150" t="s">
        <v>150</v>
      </c>
      <c r="AB150" t="s">
        <v>8</v>
      </c>
      <c r="AC150">
        <v>10</v>
      </c>
      <c r="AD150" s="1" t="str">
        <f>IFERROR(IF(INDEX(Items[Selected Count], MATCH(Recipes2[[#This Row],[Name]], Items[Name], 0)) &gt; 0, ROW() - ROW(Recipes2[#Headers]), ""), "")</f>
        <v/>
      </c>
      <c r="AE150" s="1" t="str">
        <f>IFERROR(SMALL(Recipes2[Selected], ROW() - ROW(Recipes2[#Headers])), "")</f>
        <v/>
      </c>
      <c r="AF150" s="1" t="str">
        <f>IFERROR(INDEX(Recipes2[Name], Recipes2[[#This Row],[Selected Sorted]]), "")</f>
        <v/>
      </c>
      <c r="AG150" s="1" t="str">
        <f>IFERROR(INDEX(Recipes2[Component], Recipes2[[#This Row],[Selected Sorted]]), "")</f>
        <v/>
      </c>
      <c r="AH150" s="1" t="str">
        <f>IFERROR(INDEX(Recipes2[Quantity], Recipes2[[#This Row],[Selected Sorted]]), "")</f>
        <v/>
      </c>
    </row>
    <row r="151" spans="18:34" x14ac:dyDescent="0.25">
      <c r="R151" t="s">
        <v>57</v>
      </c>
      <c r="S151" t="s">
        <v>6</v>
      </c>
      <c r="T151">
        <v>2</v>
      </c>
      <c r="U151" t="str">
        <f>IFERROR(IF(INDEX(Items[Selected Count], MATCH(Recipes[[#This Row],[Name]], Items[Name], 0)) &gt; 0, ROW() - ROW(Recipes[#Headers]), ""), "")</f>
        <v/>
      </c>
      <c r="V151" t="str">
        <f>IFERROR(SMALL(Recipes[Selected], ROW() - ROW(Recipes[#Headers])), "")</f>
        <v/>
      </c>
      <c r="W151" t="str">
        <f>IFERROR(INDEX(Recipes[Name], Recipes[[#This Row],[Selected Sorted]]), "")</f>
        <v/>
      </c>
      <c r="X151" t="str">
        <f>IFERROR(INDEX(Recipes[Component], Recipes[[#This Row],[Selected Sorted]]), "")</f>
        <v/>
      </c>
      <c r="Y151" s="1" t="str">
        <f>IFERROR(INDEX(Recipes[Quantity], Recipes[[#This Row],[Selected Sorted]]), "")</f>
        <v/>
      </c>
      <c r="AA151" t="s">
        <v>43</v>
      </c>
      <c r="AB151" t="s">
        <v>8</v>
      </c>
      <c r="AC151">
        <v>1</v>
      </c>
      <c r="AD151" t="str">
        <f>IFERROR(IF(INDEX(Items[Selected Count], MATCH(Recipes2[[#This Row],[Name]], Items[Name], 0)) &gt; 0, ROW() - ROW(Recipes2[#Headers]), ""), "")</f>
        <v/>
      </c>
      <c r="AE151" t="str">
        <f>IFERROR(SMALL(Recipes2[Selected], ROW() - ROW(Recipes2[#Headers])), "")</f>
        <v/>
      </c>
      <c r="AF151" t="str">
        <f>IFERROR(INDEX(Recipes2[Name], Recipes2[[#This Row],[Selected Sorted]]), "")</f>
        <v/>
      </c>
      <c r="AG151" t="str">
        <f>IFERROR(INDEX(Recipes2[Component], Recipes2[[#This Row],[Selected Sorted]]), "")</f>
        <v/>
      </c>
      <c r="AH151" s="1" t="str">
        <f>IFERROR(INDEX(Recipes2[Quantity], Recipes2[[#This Row],[Selected Sorted]]), "")</f>
        <v/>
      </c>
    </row>
    <row r="152" spans="18:34" x14ac:dyDescent="0.25">
      <c r="R152" t="s">
        <v>57</v>
      </c>
      <c r="S152" t="s">
        <v>55</v>
      </c>
      <c r="T152">
        <v>1</v>
      </c>
      <c r="U152" t="str">
        <f>IFERROR(IF(INDEX(Items[Selected Count], MATCH(Recipes[[#This Row],[Name]], Items[Name], 0)) &gt; 0, ROW() - ROW(Recipes[#Headers]), ""), "")</f>
        <v/>
      </c>
      <c r="V152" t="str">
        <f>IFERROR(SMALL(Recipes[Selected], ROW() - ROW(Recipes[#Headers])), "")</f>
        <v/>
      </c>
      <c r="W152" t="str">
        <f>IFERROR(INDEX(Recipes[Name], Recipes[[#This Row],[Selected Sorted]]), "")</f>
        <v/>
      </c>
      <c r="X152" t="str">
        <f>IFERROR(INDEX(Recipes[Component], Recipes[[#This Row],[Selected Sorted]]), "")</f>
        <v/>
      </c>
      <c r="Y152" s="1" t="str">
        <f>IFERROR(INDEX(Recipes[Quantity], Recipes[[#This Row],[Selected Sorted]]), "")</f>
        <v/>
      </c>
      <c r="AA152" t="s">
        <v>102</v>
      </c>
      <c r="AB152" t="s">
        <v>8</v>
      </c>
      <c r="AC152">
        <v>1</v>
      </c>
      <c r="AD152" s="1" t="str">
        <f>IFERROR(IF(INDEX(Items[Selected Count], MATCH(Recipes2[[#This Row],[Name]], Items[Name], 0)) &gt; 0, ROW() - ROW(Recipes2[#Headers]), ""), "")</f>
        <v/>
      </c>
      <c r="AE152" s="1" t="str">
        <f>IFERROR(SMALL(Recipes2[Selected], ROW() - ROW(Recipes2[#Headers])), "")</f>
        <v/>
      </c>
      <c r="AF152" s="1" t="str">
        <f>IFERROR(INDEX(Recipes2[Name], Recipes2[[#This Row],[Selected Sorted]]), "")</f>
        <v/>
      </c>
      <c r="AG152" s="1" t="str">
        <f>IFERROR(INDEX(Recipes2[Component], Recipes2[[#This Row],[Selected Sorted]]), "")</f>
        <v/>
      </c>
      <c r="AH152" s="1" t="str">
        <f>IFERROR(INDEX(Recipes2[Quantity], Recipes2[[#This Row],[Selected Sorted]]), "")</f>
        <v/>
      </c>
    </row>
    <row r="153" spans="18:34" x14ac:dyDescent="0.25">
      <c r="R153" t="s">
        <v>43</v>
      </c>
      <c r="S153" t="s">
        <v>42</v>
      </c>
      <c r="T153">
        <v>1</v>
      </c>
      <c r="U153" t="str">
        <f>IFERROR(IF(INDEX(Items[Selected Count], MATCH(Recipes[[#This Row],[Name]], Items[Name], 0)) &gt; 0, ROW() - ROW(Recipes[#Headers]), ""), "")</f>
        <v/>
      </c>
      <c r="V153" t="str">
        <f>IFERROR(SMALL(Recipes[Selected], ROW() - ROW(Recipes[#Headers])), "")</f>
        <v/>
      </c>
      <c r="W153" t="str">
        <f>IFERROR(INDEX(Recipes[Name], Recipes[[#This Row],[Selected Sorted]]), "")</f>
        <v/>
      </c>
      <c r="X153" t="str">
        <f>IFERROR(INDEX(Recipes[Component], Recipes[[#This Row],[Selected Sorted]]), "")</f>
        <v/>
      </c>
      <c r="Y153" s="1" t="str">
        <f>IFERROR(INDEX(Recipes[Quantity], Recipes[[#This Row],[Selected Sorted]]), "")</f>
        <v/>
      </c>
      <c r="AA153" t="s">
        <v>66</v>
      </c>
      <c r="AB153" t="s">
        <v>8</v>
      </c>
      <c r="AC153">
        <v>10</v>
      </c>
      <c r="AD153" s="1" t="str">
        <f>IFERROR(IF(INDEX(Items[Selected Count], MATCH(Recipes2[[#This Row],[Name]], Items[Name], 0)) &gt; 0, ROW() - ROW(Recipes2[#Headers]), ""), "")</f>
        <v/>
      </c>
      <c r="AE153" s="1" t="str">
        <f>IFERROR(SMALL(Recipes2[Selected], ROW() - ROW(Recipes2[#Headers])), "")</f>
        <v/>
      </c>
      <c r="AF153" s="1" t="str">
        <f>IFERROR(INDEX(Recipes2[Name], Recipes2[[#This Row],[Selected Sorted]]), "")</f>
        <v/>
      </c>
      <c r="AG153" s="1" t="str">
        <f>IFERROR(INDEX(Recipes2[Component], Recipes2[[#This Row],[Selected Sorted]]), "")</f>
        <v/>
      </c>
      <c r="AH153" s="1" t="str">
        <f>IFERROR(INDEX(Recipes2[Quantity], Recipes2[[#This Row],[Selected Sorted]]), "")</f>
        <v/>
      </c>
    </row>
    <row r="154" spans="18:34" x14ac:dyDescent="0.25">
      <c r="R154" t="s">
        <v>43</v>
      </c>
      <c r="S154" t="s">
        <v>8</v>
      </c>
      <c r="T154">
        <v>1</v>
      </c>
      <c r="U154" t="str">
        <f>IFERROR(IF(INDEX(Items[Selected Count], MATCH(Recipes[[#This Row],[Name]], Items[Name], 0)) &gt; 0, ROW() - ROW(Recipes[#Headers]), ""), "")</f>
        <v/>
      </c>
      <c r="V154" t="str">
        <f>IFERROR(SMALL(Recipes[Selected], ROW() - ROW(Recipes[#Headers])), "")</f>
        <v/>
      </c>
      <c r="W154" t="str">
        <f>IFERROR(INDEX(Recipes[Name], Recipes[[#This Row],[Selected Sorted]]), "")</f>
        <v/>
      </c>
      <c r="X154" t="str">
        <f>IFERROR(INDEX(Recipes[Component], Recipes[[#This Row],[Selected Sorted]]), "")</f>
        <v/>
      </c>
      <c r="Y154" s="1" t="str">
        <f>IFERROR(INDEX(Recipes[Quantity], Recipes[[#This Row],[Selected Sorted]]), "")</f>
        <v/>
      </c>
      <c r="AA154" t="s">
        <v>79</v>
      </c>
      <c r="AB154" t="s">
        <v>8</v>
      </c>
      <c r="AC154">
        <v>10</v>
      </c>
      <c r="AD154" s="1" t="str">
        <f>IFERROR(IF(INDEX(Items[Selected Count], MATCH(Recipes2[[#This Row],[Name]], Items[Name], 0)) &gt; 0, ROW() - ROW(Recipes2[#Headers]), ""), "")</f>
        <v/>
      </c>
      <c r="AE154" s="1" t="str">
        <f>IFERROR(SMALL(Recipes2[Selected], ROW() - ROW(Recipes2[#Headers])), "")</f>
        <v/>
      </c>
      <c r="AF154" s="1" t="str">
        <f>IFERROR(INDEX(Recipes2[Name], Recipes2[[#This Row],[Selected Sorted]]), "")</f>
        <v/>
      </c>
      <c r="AG154" s="1" t="str">
        <f>IFERROR(INDEX(Recipes2[Component], Recipes2[[#This Row],[Selected Sorted]]), "")</f>
        <v/>
      </c>
      <c r="AH154" s="1" t="str">
        <f>IFERROR(INDEX(Recipes2[Quantity], Recipes2[[#This Row],[Selected Sorted]]), "")</f>
        <v/>
      </c>
    </row>
    <row r="155" spans="18:34" x14ac:dyDescent="0.25">
      <c r="R155" t="s">
        <v>43</v>
      </c>
      <c r="S155" t="s">
        <v>2</v>
      </c>
      <c r="T155">
        <v>1</v>
      </c>
      <c r="U155" t="str">
        <f>IFERROR(IF(INDEX(Items[Selected Count], MATCH(Recipes[[#This Row],[Name]], Items[Name], 0)) &gt; 0, ROW() - ROW(Recipes[#Headers]), ""), "")</f>
        <v/>
      </c>
      <c r="V155" t="str">
        <f>IFERROR(SMALL(Recipes[Selected], ROW() - ROW(Recipes[#Headers])), "")</f>
        <v/>
      </c>
      <c r="W155" t="str">
        <f>IFERROR(INDEX(Recipes[Name], Recipes[[#This Row],[Selected Sorted]]), "")</f>
        <v/>
      </c>
      <c r="X155" t="str">
        <f>IFERROR(INDEX(Recipes[Component], Recipes[[#This Row],[Selected Sorted]]), "")</f>
        <v/>
      </c>
      <c r="Y155" s="1" t="str">
        <f>IFERROR(INDEX(Recipes[Quantity], Recipes[[#This Row],[Selected Sorted]]), "")</f>
        <v/>
      </c>
      <c r="AA155" t="s">
        <v>69</v>
      </c>
      <c r="AB155" t="s">
        <v>8</v>
      </c>
      <c r="AC155">
        <v>5</v>
      </c>
      <c r="AD155" t="str">
        <f>IFERROR(IF(INDEX(Items[Selected Count], MATCH(Recipes2[[#This Row],[Name]], Items[Name], 0)) &gt; 0, ROW() - ROW(Recipes2[#Headers]), ""), "")</f>
        <v/>
      </c>
      <c r="AE155" t="str">
        <f>IFERROR(SMALL(Recipes2[Selected], ROW() - ROW(Recipes2[#Headers])), "")</f>
        <v/>
      </c>
      <c r="AF155" t="str">
        <f>IFERROR(INDEX(Recipes2[Name], Recipes2[[#This Row],[Selected Sorted]]), "")</f>
        <v/>
      </c>
      <c r="AG155" t="str">
        <f>IFERROR(INDEX(Recipes2[Component], Recipes2[[#This Row],[Selected Sorted]]), "")</f>
        <v/>
      </c>
      <c r="AH155" s="1" t="str">
        <f>IFERROR(INDEX(Recipes2[Quantity], Recipes2[[#This Row],[Selected Sorted]]), "")</f>
        <v/>
      </c>
    </row>
    <row r="156" spans="18:34" x14ac:dyDescent="0.25">
      <c r="R156" t="s">
        <v>129</v>
      </c>
      <c r="S156" t="s">
        <v>4</v>
      </c>
      <c r="T156">
        <v>5</v>
      </c>
      <c r="U156" s="1" t="str">
        <f>IFERROR(IF(INDEX(Items[Selected Count], MATCH(Recipes[[#This Row],[Name]], Items[Name], 0)) &gt; 0, ROW() - ROW(Recipes[#Headers]), ""), "")</f>
        <v/>
      </c>
      <c r="V156" s="1" t="str">
        <f>IFERROR(SMALL(Recipes[Selected], ROW() - ROW(Recipes[#Headers])), "")</f>
        <v/>
      </c>
      <c r="W156" s="1" t="str">
        <f>IFERROR(INDEX(Recipes[Name], Recipes[[#This Row],[Selected Sorted]]), "")</f>
        <v/>
      </c>
      <c r="X156" s="1" t="str">
        <f>IFERROR(INDEX(Recipes[Component], Recipes[[#This Row],[Selected Sorted]]), "")</f>
        <v/>
      </c>
      <c r="Y156" s="1" t="str">
        <f>IFERROR(INDEX(Recipes[Quantity], Recipes[[#This Row],[Selected Sorted]]), "")</f>
        <v/>
      </c>
      <c r="AA156" t="s">
        <v>142</v>
      </c>
      <c r="AB156" t="s">
        <v>8</v>
      </c>
      <c r="AC156">
        <v>2</v>
      </c>
      <c r="AD156" s="1" t="str">
        <f>IFERROR(IF(INDEX(Items[Selected Count], MATCH(Recipes2[[#This Row],[Name]], Items[Name], 0)) &gt; 0, ROW() - ROW(Recipes2[#Headers]), ""), "")</f>
        <v/>
      </c>
      <c r="AE156" s="1" t="str">
        <f>IFERROR(SMALL(Recipes2[Selected], ROW() - ROW(Recipes2[#Headers])), "")</f>
        <v/>
      </c>
      <c r="AF156" s="1" t="str">
        <f>IFERROR(INDEX(Recipes2[Name], Recipes2[[#This Row],[Selected Sorted]]), "")</f>
        <v/>
      </c>
      <c r="AG156" s="1" t="str">
        <f>IFERROR(INDEX(Recipes2[Component], Recipes2[[#This Row],[Selected Sorted]]), "")</f>
        <v/>
      </c>
      <c r="AH156" s="1" t="str">
        <f>IFERROR(INDEX(Recipes2[Quantity], Recipes2[[#This Row],[Selected Sorted]]), "")</f>
        <v/>
      </c>
    </row>
    <row r="157" spans="18:34" x14ac:dyDescent="0.25">
      <c r="R157" t="s">
        <v>129</v>
      </c>
      <c r="S157" t="s">
        <v>3</v>
      </c>
      <c r="T157">
        <v>5</v>
      </c>
      <c r="U157" s="1" t="str">
        <f>IFERROR(IF(INDEX(Items[Selected Count], MATCH(Recipes[[#This Row],[Name]], Items[Name], 0)) &gt; 0, ROW() - ROW(Recipes[#Headers]), ""), "")</f>
        <v/>
      </c>
      <c r="V157" s="1" t="str">
        <f>IFERROR(SMALL(Recipes[Selected], ROW() - ROW(Recipes[#Headers])), "")</f>
        <v/>
      </c>
      <c r="W157" s="1" t="str">
        <f>IFERROR(INDEX(Recipes[Name], Recipes[[#This Row],[Selected Sorted]]), "")</f>
        <v/>
      </c>
      <c r="X157" s="1" t="str">
        <f>IFERROR(INDEX(Recipes[Component], Recipes[[#This Row],[Selected Sorted]]), "")</f>
        <v/>
      </c>
      <c r="Y157" s="1" t="str">
        <f>IFERROR(INDEX(Recipes[Quantity], Recipes[[#This Row],[Selected Sorted]]), "")</f>
        <v/>
      </c>
      <c r="AA157" t="s">
        <v>120</v>
      </c>
      <c r="AB157" t="s">
        <v>8</v>
      </c>
      <c r="AC157">
        <v>45</v>
      </c>
      <c r="AD157" s="1" t="str">
        <f>IFERROR(IF(INDEX(Items[Selected Count], MATCH(Recipes2[[#This Row],[Name]], Items[Name], 0)) &gt; 0, ROW() - ROW(Recipes2[#Headers]), ""), "")</f>
        <v/>
      </c>
      <c r="AE157" s="1" t="str">
        <f>IFERROR(SMALL(Recipes2[Selected], ROW() - ROW(Recipes2[#Headers])), "")</f>
        <v/>
      </c>
      <c r="AF157" s="1" t="str">
        <f>IFERROR(INDEX(Recipes2[Name], Recipes2[[#This Row],[Selected Sorted]]), "")</f>
        <v/>
      </c>
      <c r="AG157" s="1" t="str">
        <f>IFERROR(INDEX(Recipes2[Component], Recipes2[[#This Row],[Selected Sorted]]), "")</f>
        <v/>
      </c>
      <c r="AH157" s="1" t="str">
        <f>IFERROR(INDEX(Recipes2[Quantity], Recipes2[[#This Row],[Selected Sorted]]), "")</f>
        <v/>
      </c>
    </row>
    <row r="158" spans="18:34" x14ac:dyDescent="0.25">
      <c r="R158" t="s">
        <v>129</v>
      </c>
      <c r="S158" t="s">
        <v>35</v>
      </c>
      <c r="T158">
        <v>10</v>
      </c>
      <c r="U158" s="1" t="str">
        <f>IFERROR(IF(INDEX(Items[Selected Count], MATCH(Recipes[[#This Row],[Name]], Items[Name], 0)) &gt; 0, ROW() - ROW(Recipes[#Headers]), ""), "")</f>
        <v/>
      </c>
      <c r="V158" s="1" t="str">
        <f>IFERROR(SMALL(Recipes[Selected], ROW() - ROW(Recipes[#Headers])), "")</f>
        <v/>
      </c>
      <c r="W158" s="1" t="str">
        <f>IFERROR(INDEX(Recipes[Name], Recipes[[#This Row],[Selected Sorted]]), "")</f>
        <v/>
      </c>
      <c r="X158" s="1" t="str">
        <f>IFERROR(INDEX(Recipes[Component], Recipes[[#This Row],[Selected Sorted]]), "")</f>
        <v/>
      </c>
      <c r="Y158" s="1" t="str">
        <f>IFERROR(INDEX(Recipes[Quantity], Recipes[[#This Row],[Selected Sorted]]), "")</f>
        <v/>
      </c>
      <c r="AA158" t="s">
        <v>48</v>
      </c>
      <c r="AB158" t="s">
        <v>8</v>
      </c>
      <c r="AC158">
        <v>1</v>
      </c>
      <c r="AD158" t="str">
        <f>IFERROR(IF(INDEX(Items[Selected Count], MATCH(Recipes2[[#This Row],[Name]], Items[Name], 0)) &gt; 0, ROW() - ROW(Recipes2[#Headers]), ""), "")</f>
        <v/>
      </c>
      <c r="AE158" t="str">
        <f>IFERROR(SMALL(Recipes2[Selected], ROW() - ROW(Recipes2[#Headers])), "")</f>
        <v/>
      </c>
      <c r="AF158" t="str">
        <f>IFERROR(INDEX(Recipes2[Name], Recipes2[[#This Row],[Selected Sorted]]), "")</f>
        <v/>
      </c>
      <c r="AG158" t="str">
        <f>IFERROR(INDEX(Recipes2[Component], Recipes2[[#This Row],[Selected Sorted]]), "")</f>
        <v/>
      </c>
      <c r="AH158" s="1" t="str">
        <f>IFERROR(INDEX(Recipes2[Quantity], Recipes2[[#This Row],[Selected Sorted]]), "")</f>
        <v/>
      </c>
    </row>
    <row r="159" spans="18:34" x14ac:dyDescent="0.25">
      <c r="R159" t="s">
        <v>33</v>
      </c>
      <c r="S159" t="s">
        <v>207</v>
      </c>
      <c r="T159">
        <v>10</v>
      </c>
      <c r="U159" s="1" t="str">
        <f>IFERROR(IF(INDEX(Items[Selected Count], MATCH(Recipes[[#This Row],[Name]], Items[Name], 0)) &gt; 0, ROW() - ROW(Recipes[#Headers]), ""), "")</f>
        <v/>
      </c>
      <c r="V159" s="1" t="str">
        <f>IFERROR(SMALL(Recipes[Selected], ROW() - ROW(Recipes[#Headers])), "")</f>
        <v/>
      </c>
      <c r="W159" s="1" t="str">
        <f>IFERROR(INDEX(Recipes[Name], Recipes[[#This Row],[Selected Sorted]]), "")</f>
        <v/>
      </c>
      <c r="X159" s="1" t="str">
        <f>IFERROR(INDEX(Recipes[Component], Recipes[[#This Row],[Selected Sorted]]), "")</f>
        <v/>
      </c>
      <c r="Y159" s="1" t="str">
        <f>IFERROR(INDEX(Recipes[Quantity], Recipes[[#This Row],[Selected Sorted]]), "")</f>
        <v/>
      </c>
      <c r="AA159" t="s">
        <v>46</v>
      </c>
      <c r="AB159" t="s">
        <v>8</v>
      </c>
      <c r="AC159">
        <v>15</v>
      </c>
      <c r="AD159" t="str">
        <f>IFERROR(IF(INDEX(Items[Selected Count], MATCH(Recipes2[[#This Row],[Name]], Items[Name], 0)) &gt; 0, ROW() - ROW(Recipes2[#Headers]), ""), "")</f>
        <v/>
      </c>
      <c r="AE159" t="str">
        <f>IFERROR(SMALL(Recipes2[Selected], ROW() - ROW(Recipes2[#Headers])), "")</f>
        <v/>
      </c>
      <c r="AF159" t="str">
        <f>IFERROR(INDEX(Recipes2[Name], Recipes2[[#This Row],[Selected Sorted]]), "")</f>
        <v/>
      </c>
      <c r="AG159" t="str">
        <f>IFERROR(INDEX(Recipes2[Component], Recipes2[[#This Row],[Selected Sorted]]), "")</f>
        <v/>
      </c>
      <c r="AH159" s="1" t="str">
        <f>IFERROR(INDEX(Recipes2[Quantity], Recipes2[[#This Row],[Selected Sorted]]), "")</f>
        <v/>
      </c>
    </row>
    <row r="160" spans="18:34" x14ac:dyDescent="0.25">
      <c r="R160" t="s">
        <v>39</v>
      </c>
      <c r="S160" t="s">
        <v>4</v>
      </c>
      <c r="T160">
        <v>2</v>
      </c>
      <c r="U160" t="str">
        <f>IFERROR(IF(INDEX(Items[Selected Count], MATCH(Recipes[[#This Row],[Name]], Items[Name], 0)) &gt; 0, ROW() - ROW(Recipes[#Headers]), ""), "")</f>
        <v/>
      </c>
      <c r="V160" t="str">
        <f>IFERROR(SMALL(Recipes[Selected], ROW() - ROW(Recipes[#Headers])), "")</f>
        <v/>
      </c>
      <c r="W160" t="str">
        <f>IFERROR(INDEX(Recipes[Name], Recipes[[#This Row],[Selected Sorted]]), "")</f>
        <v/>
      </c>
      <c r="X160" t="str">
        <f>IFERROR(INDEX(Recipes[Component], Recipes[[#This Row],[Selected Sorted]]), "")</f>
        <v/>
      </c>
      <c r="Y160" s="1" t="str">
        <f>IFERROR(INDEX(Recipes[Quantity], Recipes[[#This Row],[Selected Sorted]]), "")</f>
        <v/>
      </c>
      <c r="AA160" t="s">
        <v>22</v>
      </c>
      <c r="AB160" t="s">
        <v>8</v>
      </c>
      <c r="AC160">
        <v>5</v>
      </c>
      <c r="AD160" t="str">
        <f>IFERROR(IF(INDEX(Items[Selected Count], MATCH(Recipes2[[#This Row],[Name]], Items[Name], 0)) &gt; 0, ROW() - ROW(Recipes2[#Headers]), ""), "")</f>
        <v/>
      </c>
      <c r="AE160" t="str">
        <f>IFERROR(SMALL(Recipes2[Selected], ROW() - ROW(Recipes2[#Headers])), "")</f>
        <v/>
      </c>
      <c r="AF160" t="str">
        <f>IFERROR(INDEX(Recipes2[Name], Recipes2[[#This Row],[Selected Sorted]]), "")</f>
        <v/>
      </c>
      <c r="AG160" t="str">
        <f>IFERROR(INDEX(Recipes2[Component], Recipes2[[#This Row],[Selected Sorted]]), "")</f>
        <v/>
      </c>
      <c r="AH160" s="1" t="str">
        <f>IFERROR(INDEX(Recipes2[Quantity], Recipes2[[#This Row],[Selected Sorted]]), "")</f>
        <v/>
      </c>
    </row>
    <row r="161" spans="18:34" x14ac:dyDescent="0.25">
      <c r="R161" t="s">
        <v>39</v>
      </c>
      <c r="S161" t="s">
        <v>35</v>
      </c>
      <c r="T161">
        <v>2</v>
      </c>
      <c r="U161" t="str">
        <f>IFERROR(IF(INDEX(Items[Selected Count], MATCH(Recipes[[#This Row],[Name]], Items[Name], 0)) &gt; 0, ROW() - ROW(Recipes[#Headers]), ""), "")</f>
        <v/>
      </c>
      <c r="V161" t="str">
        <f>IFERROR(SMALL(Recipes[Selected], ROW() - ROW(Recipes[#Headers])), "")</f>
        <v/>
      </c>
      <c r="W161" t="str">
        <f>IFERROR(INDEX(Recipes[Name], Recipes[[#This Row],[Selected Sorted]]), "")</f>
        <v/>
      </c>
      <c r="X161" t="str">
        <f>IFERROR(INDEX(Recipes[Component], Recipes[[#This Row],[Selected Sorted]]), "")</f>
        <v/>
      </c>
      <c r="Y161" s="1" t="str">
        <f>IFERROR(INDEX(Recipes[Quantity], Recipes[[#This Row],[Selected Sorted]]), "")</f>
        <v/>
      </c>
      <c r="AA161" t="s">
        <v>144</v>
      </c>
      <c r="AB161" t="s">
        <v>8</v>
      </c>
      <c r="AC161">
        <v>50</v>
      </c>
      <c r="AD161" s="1" t="str">
        <f>IFERROR(IF(INDEX(Items[Selected Count], MATCH(Recipes2[[#This Row],[Name]], Items[Name], 0)) &gt; 0, ROW() - ROW(Recipes2[#Headers]), ""), "")</f>
        <v/>
      </c>
      <c r="AE161" s="1" t="str">
        <f>IFERROR(SMALL(Recipes2[Selected], ROW() - ROW(Recipes2[#Headers])), "")</f>
        <v/>
      </c>
      <c r="AF161" s="1" t="str">
        <f>IFERROR(INDEX(Recipes2[Name], Recipes2[[#This Row],[Selected Sorted]]), "")</f>
        <v/>
      </c>
      <c r="AG161" s="1" t="str">
        <f>IFERROR(INDEX(Recipes2[Component], Recipes2[[#This Row],[Selected Sorted]]), "")</f>
        <v/>
      </c>
      <c r="AH161" s="1" t="str">
        <f>IFERROR(INDEX(Recipes2[Quantity], Recipes2[[#This Row],[Selected Sorted]]), "")</f>
        <v/>
      </c>
    </row>
    <row r="162" spans="18:34" x14ac:dyDescent="0.25">
      <c r="R162" t="s">
        <v>70</v>
      </c>
      <c r="S162" t="s">
        <v>37</v>
      </c>
      <c r="T162">
        <v>1</v>
      </c>
      <c r="U162" t="str">
        <f>IFERROR(IF(INDEX(Items[Selected Count], MATCH(Recipes[[#This Row],[Name]], Items[Name], 0)) &gt; 0, ROW() - ROW(Recipes[#Headers]), ""), "")</f>
        <v/>
      </c>
      <c r="V162" t="str">
        <f>IFERROR(SMALL(Recipes[Selected], ROW() - ROW(Recipes[#Headers])), "")</f>
        <v/>
      </c>
      <c r="W162" t="str">
        <f>IFERROR(INDEX(Recipes[Name], Recipes[[#This Row],[Selected Sorted]]), "")</f>
        <v/>
      </c>
      <c r="X162" t="str">
        <f>IFERROR(INDEX(Recipes[Component], Recipes[[#This Row],[Selected Sorted]]), "")</f>
        <v/>
      </c>
      <c r="Y162" s="1" t="str">
        <f>IFERROR(INDEX(Recipes[Quantity], Recipes[[#This Row],[Selected Sorted]]), "")</f>
        <v/>
      </c>
      <c r="AA162" t="s">
        <v>162</v>
      </c>
      <c r="AB162" t="s">
        <v>8</v>
      </c>
      <c r="AC162">
        <v>15</v>
      </c>
      <c r="AD162" s="1" t="str">
        <f>IFERROR(IF(INDEX(Items[Selected Count], MATCH(Recipes2[[#This Row],[Name]], Items[Name], 0)) &gt; 0, ROW() - ROW(Recipes2[#Headers]), ""), "")</f>
        <v/>
      </c>
      <c r="AE162" s="1" t="str">
        <f>IFERROR(SMALL(Recipes2[Selected], ROW() - ROW(Recipes2[#Headers])), "")</f>
        <v/>
      </c>
      <c r="AF162" s="1" t="str">
        <f>IFERROR(INDEX(Recipes2[Name], Recipes2[[#This Row],[Selected Sorted]]), "")</f>
        <v/>
      </c>
      <c r="AG162" s="1" t="str">
        <f>IFERROR(INDEX(Recipes2[Component], Recipes2[[#This Row],[Selected Sorted]]), "")</f>
        <v/>
      </c>
      <c r="AH162" s="1" t="str">
        <f>IFERROR(INDEX(Recipes2[Quantity], Recipes2[[#This Row],[Selected Sorted]]), "")</f>
        <v/>
      </c>
    </row>
    <row r="163" spans="18:34" x14ac:dyDescent="0.25">
      <c r="R163" t="s">
        <v>70</v>
      </c>
      <c r="S163" t="s">
        <v>36</v>
      </c>
      <c r="T163">
        <v>1</v>
      </c>
      <c r="U163" t="str">
        <f>IFERROR(IF(INDEX(Items[Selected Count], MATCH(Recipes[[#This Row],[Name]], Items[Name], 0)) &gt; 0, ROW() - ROW(Recipes[#Headers]), ""), "")</f>
        <v/>
      </c>
      <c r="V163" t="str">
        <f>IFERROR(SMALL(Recipes[Selected], ROW() - ROW(Recipes[#Headers])), "")</f>
        <v/>
      </c>
      <c r="W163" t="str">
        <f>IFERROR(INDEX(Recipes[Name], Recipes[[#This Row],[Selected Sorted]]), "")</f>
        <v/>
      </c>
      <c r="X163" t="str">
        <f>IFERROR(INDEX(Recipes[Component], Recipes[[#This Row],[Selected Sorted]]), "")</f>
        <v/>
      </c>
      <c r="Y163" s="1" t="str">
        <f>IFERROR(INDEX(Recipes[Quantity], Recipes[[#This Row],[Selected Sorted]]), "")</f>
        <v/>
      </c>
      <c r="AA163" t="s">
        <v>24</v>
      </c>
      <c r="AB163" t="s">
        <v>8</v>
      </c>
      <c r="AC163">
        <v>1</v>
      </c>
      <c r="AD163" t="str">
        <f>IFERROR(IF(INDEX(Items[Selected Count], MATCH(Recipes2[[#This Row],[Name]], Items[Name], 0)) &gt; 0, ROW() - ROW(Recipes2[#Headers]), ""), "")</f>
        <v/>
      </c>
      <c r="AE163" t="str">
        <f>IFERROR(SMALL(Recipes2[Selected], ROW() - ROW(Recipes2[#Headers])), "")</f>
        <v/>
      </c>
      <c r="AF163" t="str">
        <f>IFERROR(INDEX(Recipes2[Name], Recipes2[[#This Row],[Selected Sorted]]), "")</f>
        <v/>
      </c>
      <c r="AG163" t="str">
        <f>IFERROR(INDEX(Recipes2[Component], Recipes2[[#This Row],[Selected Sorted]]), "")</f>
        <v/>
      </c>
      <c r="AH163" s="1" t="str">
        <f>IFERROR(INDEX(Recipes2[Quantity], Recipes2[[#This Row],[Selected Sorted]]), "")</f>
        <v/>
      </c>
    </row>
    <row r="164" spans="18:34" x14ac:dyDescent="0.25">
      <c r="R164" t="s">
        <v>70</v>
      </c>
      <c r="S164" t="s">
        <v>34</v>
      </c>
      <c r="T164">
        <v>1</v>
      </c>
      <c r="U164" t="str">
        <f>IFERROR(IF(INDEX(Items[Selected Count], MATCH(Recipes[[#This Row],[Name]], Items[Name], 0)) &gt; 0, ROW() - ROW(Recipes[#Headers]), ""), "")</f>
        <v/>
      </c>
      <c r="V164" t="str">
        <f>IFERROR(SMALL(Recipes[Selected], ROW() - ROW(Recipes[#Headers])), "")</f>
        <v/>
      </c>
      <c r="W164" t="str">
        <f>IFERROR(INDEX(Recipes[Name], Recipes[[#This Row],[Selected Sorted]]), "")</f>
        <v/>
      </c>
      <c r="X164" t="str">
        <f>IFERROR(INDEX(Recipes[Component], Recipes[[#This Row],[Selected Sorted]]), "")</f>
        <v/>
      </c>
      <c r="Y164" s="1" t="str">
        <f>IFERROR(INDEX(Recipes[Quantity], Recipes[[#This Row],[Selected Sorted]]), "")</f>
        <v/>
      </c>
      <c r="AA164" t="s">
        <v>146</v>
      </c>
      <c r="AB164" t="s">
        <v>85</v>
      </c>
      <c r="AC164">
        <v>1</v>
      </c>
      <c r="AD164" s="1" t="str">
        <f>IFERROR(IF(INDEX(Items[Selected Count], MATCH(Recipes2[[#This Row],[Name]], Items[Name], 0)) &gt; 0, ROW() - ROW(Recipes2[#Headers]), ""), "")</f>
        <v/>
      </c>
      <c r="AE164" s="1" t="str">
        <f>IFERROR(SMALL(Recipes2[Selected], ROW() - ROW(Recipes2[#Headers])), "")</f>
        <v/>
      </c>
      <c r="AF164" s="1" t="str">
        <f>IFERROR(INDEX(Recipes2[Name], Recipes2[[#This Row],[Selected Sorted]]), "")</f>
        <v/>
      </c>
      <c r="AG164" s="1" t="str">
        <f>IFERROR(INDEX(Recipes2[Component], Recipes2[[#This Row],[Selected Sorted]]), "")</f>
        <v/>
      </c>
      <c r="AH164" s="1" t="str">
        <f>IFERROR(INDEX(Recipes2[Quantity], Recipes2[[#This Row],[Selected Sorted]]), "")</f>
        <v/>
      </c>
    </row>
    <row r="165" spans="18:34" x14ac:dyDescent="0.25">
      <c r="R165" t="s">
        <v>145</v>
      </c>
      <c r="S165" t="s">
        <v>6</v>
      </c>
      <c r="T165">
        <v>500</v>
      </c>
      <c r="U165" s="1" t="str">
        <f>IFERROR(IF(INDEX(Items[Selected Count], MATCH(Recipes[[#This Row],[Name]], Items[Name], 0)) &gt; 0, ROW() - ROW(Recipes[#Headers]), ""), "")</f>
        <v/>
      </c>
      <c r="V165" s="1" t="str">
        <f>IFERROR(SMALL(Recipes[Selected], ROW() - ROW(Recipes[#Headers])), "")</f>
        <v/>
      </c>
      <c r="W165" s="1" t="str">
        <f>IFERROR(INDEX(Recipes[Name], Recipes[[#This Row],[Selected Sorted]]), "")</f>
        <v/>
      </c>
      <c r="X165" s="1" t="str">
        <f>IFERROR(INDEX(Recipes[Component], Recipes[[#This Row],[Selected Sorted]]), "")</f>
        <v/>
      </c>
      <c r="Y165" s="1" t="str">
        <f>IFERROR(INDEX(Recipes[Quantity], Recipes[[#This Row],[Selected Sorted]]), "")</f>
        <v/>
      </c>
      <c r="AA165" t="s">
        <v>2</v>
      </c>
      <c r="AB165" t="s">
        <v>85</v>
      </c>
      <c r="AC165">
        <v>1</v>
      </c>
      <c r="AD165" s="1">
        <f>IFERROR(IF(INDEX(Items[Selected Count], MATCH(Recipes2[[#This Row],[Name]], Items[Name], 0)) &gt; 0, ROW() - ROW(Recipes2[#Headers]), ""), "")</f>
        <v>164</v>
      </c>
      <c r="AE165" s="1" t="str">
        <f>IFERROR(SMALL(Recipes2[Selected], ROW() - ROW(Recipes2[#Headers])), "")</f>
        <v/>
      </c>
      <c r="AF165" s="1" t="str">
        <f>IFERROR(INDEX(Recipes2[Name], Recipes2[[#This Row],[Selected Sorted]]), "")</f>
        <v/>
      </c>
      <c r="AG165" s="1" t="str">
        <f>IFERROR(INDEX(Recipes2[Component], Recipes2[[#This Row],[Selected Sorted]]), "")</f>
        <v/>
      </c>
      <c r="AH165" s="1" t="str">
        <f>IFERROR(INDEX(Recipes2[Quantity], Recipes2[[#This Row],[Selected Sorted]]), "")</f>
        <v/>
      </c>
    </row>
    <row r="166" spans="18:34" x14ac:dyDescent="0.25">
      <c r="R166" t="s">
        <v>145</v>
      </c>
      <c r="S166" t="s">
        <v>146</v>
      </c>
      <c r="T166">
        <v>500</v>
      </c>
      <c r="U166" s="1" t="str">
        <f>IFERROR(IF(INDEX(Items[Selected Count], MATCH(Recipes[[#This Row],[Name]], Items[Name], 0)) &gt; 0, ROW() - ROW(Recipes[#Headers]), ""), "")</f>
        <v/>
      </c>
      <c r="V166" s="1" t="str">
        <f>IFERROR(SMALL(Recipes[Selected], ROW() - ROW(Recipes[#Headers])), "")</f>
        <v/>
      </c>
      <c r="W166" s="1" t="str">
        <f>IFERROR(INDEX(Recipes[Name], Recipes[[#This Row],[Selected Sorted]]), "")</f>
        <v/>
      </c>
      <c r="X166" s="1" t="str">
        <f>IFERROR(INDEX(Recipes[Component], Recipes[[#This Row],[Selected Sorted]]), "")</f>
        <v/>
      </c>
      <c r="Y166" s="1" t="str">
        <f>IFERROR(INDEX(Recipes[Quantity], Recipes[[#This Row],[Selected Sorted]]), "")</f>
        <v/>
      </c>
      <c r="AA166" t="s">
        <v>68</v>
      </c>
      <c r="AB166" t="s">
        <v>2</v>
      </c>
      <c r="AC166">
        <v>2</v>
      </c>
      <c r="AD166" t="str">
        <f>IFERROR(IF(INDEX(Items[Selected Count], MATCH(Recipes2[[#This Row],[Name]], Items[Name], 0)) &gt; 0, ROW() - ROW(Recipes2[#Headers]), ""), "")</f>
        <v/>
      </c>
      <c r="AE166" t="str">
        <f>IFERROR(SMALL(Recipes2[Selected], ROW() - ROW(Recipes2[#Headers])), "")</f>
        <v/>
      </c>
      <c r="AF166" t="str">
        <f>IFERROR(INDEX(Recipes2[Name], Recipes2[[#This Row],[Selected Sorted]]), "")</f>
        <v/>
      </c>
      <c r="AG166" t="str">
        <f>IFERROR(INDEX(Recipes2[Component], Recipes2[[#This Row],[Selected Sorted]]), "")</f>
        <v/>
      </c>
      <c r="AH166" s="1" t="str">
        <f>IFERROR(INDEX(Recipes2[Quantity], Recipes2[[#This Row],[Selected Sorted]]), "")</f>
        <v/>
      </c>
    </row>
    <row r="167" spans="18:34" x14ac:dyDescent="0.25">
      <c r="R167" t="s">
        <v>145</v>
      </c>
      <c r="S167" t="s">
        <v>4</v>
      </c>
      <c r="T167">
        <v>500</v>
      </c>
      <c r="U167" s="1" t="str">
        <f>IFERROR(IF(INDEX(Items[Selected Count], MATCH(Recipes[[#This Row],[Name]], Items[Name], 0)) &gt; 0, ROW() - ROW(Recipes[#Headers]), ""), "")</f>
        <v/>
      </c>
      <c r="V167" s="1" t="str">
        <f>IFERROR(SMALL(Recipes[Selected], ROW() - ROW(Recipes[#Headers])), "")</f>
        <v/>
      </c>
      <c r="W167" s="1" t="str">
        <f>IFERROR(INDEX(Recipes[Name], Recipes[[#This Row],[Selected Sorted]]), "")</f>
        <v/>
      </c>
      <c r="X167" s="1" t="str">
        <f>IFERROR(INDEX(Recipes[Component], Recipes[[#This Row],[Selected Sorted]]), "")</f>
        <v/>
      </c>
      <c r="Y167" s="1" t="str">
        <f>IFERROR(INDEX(Recipes[Quantity], Recipes[[#This Row],[Selected Sorted]]), "")</f>
        <v/>
      </c>
      <c r="AA167" t="s">
        <v>7</v>
      </c>
      <c r="AB167" t="s">
        <v>2</v>
      </c>
      <c r="AC167">
        <v>9</v>
      </c>
      <c r="AD167" t="str">
        <f>IFERROR(IF(INDEX(Items[Selected Count], MATCH(Recipes2[[#This Row],[Name]], Items[Name], 0)) &gt; 0, ROW() - ROW(Recipes2[#Headers]), ""), "")</f>
        <v/>
      </c>
      <c r="AE167" t="str">
        <f>IFERROR(SMALL(Recipes2[Selected], ROW() - ROW(Recipes2[#Headers])), "")</f>
        <v/>
      </c>
      <c r="AF167" t="str">
        <f>IFERROR(INDEX(Recipes2[Name], Recipes2[[#This Row],[Selected Sorted]]), "")</f>
        <v/>
      </c>
      <c r="AG167" t="str">
        <f>IFERROR(INDEX(Recipes2[Component], Recipes2[[#This Row],[Selected Sorted]]), "")</f>
        <v/>
      </c>
      <c r="AH167" s="1" t="str">
        <f>IFERROR(INDEX(Recipes2[Quantity], Recipes2[[#This Row],[Selected Sorted]]), "")</f>
        <v/>
      </c>
    </row>
    <row r="168" spans="18:34" x14ac:dyDescent="0.25">
      <c r="R168" t="s">
        <v>145</v>
      </c>
      <c r="S168" t="s">
        <v>35</v>
      </c>
      <c r="T168">
        <v>500</v>
      </c>
      <c r="U168" s="1" t="str">
        <f>IFERROR(IF(INDEX(Items[Selected Count], MATCH(Recipes[[#This Row],[Name]], Items[Name], 0)) &gt; 0, ROW() - ROW(Recipes[#Headers]), ""), "")</f>
        <v/>
      </c>
      <c r="V168" s="1" t="str">
        <f>IFERROR(SMALL(Recipes[Selected], ROW() - ROW(Recipes[#Headers])), "")</f>
        <v/>
      </c>
      <c r="W168" s="1" t="str">
        <f>IFERROR(INDEX(Recipes[Name], Recipes[[#This Row],[Selected Sorted]]), "")</f>
        <v/>
      </c>
      <c r="X168" s="1" t="str">
        <f>IFERROR(INDEX(Recipes[Component], Recipes[[#This Row],[Selected Sorted]]), "")</f>
        <v/>
      </c>
      <c r="Y168" s="1" t="str">
        <f>IFERROR(INDEX(Recipes[Quantity], Recipes[[#This Row],[Selected Sorted]]), "")</f>
        <v/>
      </c>
      <c r="AA168" t="s">
        <v>9</v>
      </c>
      <c r="AB168" t="s">
        <v>2</v>
      </c>
      <c r="AC168">
        <v>9</v>
      </c>
      <c r="AD168" t="str">
        <f>IFERROR(IF(INDEX(Items[Selected Count], MATCH(Recipes2[[#This Row],[Name]], Items[Name], 0)) &gt; 0, ROW() - ROW(Recipes2[#Headers]), ""), "")</f>
        <v/>
      </c>
      <c r="AE168" t="str">
        <f>IFERROR(SMALL(Recipes2[Selected], ROW() - ROW(Recipes2[#Headers])), "")</f>
        <v/>
      </c>
      <c r="AF168" t="str">
        <f>IFERROR(INDEX(Recipes2[Name], Recipes2[[#This Row],[Selected Sorted]]), "")</f>
        <v/>
      </c>
      <c r="AG168" t="str">
        <f>IFERROR(INDEX(Recipes2[Component], Recipes2[[#This Row],[Selected Sorted]]), "")</f>
        <v/>
      </c>
      <c r="AH168" s="1" t="str">
        <f>IFERROR(INDEX(Recipes2[Quantity], Recipes2[[#This Row],[Selected Sorted]]), "")</f>
        <v/>
      </c>
    </row>
    <row r="169" spans="18:34" x14ac:dyDescent="0.25">
      <c r="R169" t="s">
        <v>102</v>
      </c>
      <c r="S169" t="s">
        <v>5</v>
      </c>
      <c r="T169">
        <v>2</v>
      </c>
      <c r="U169" s="1" t="str">
        <f>IFERROR(IF(INDEX(Items[Selected Count], MATCH(Recipes[[#This Row],[Name]], Items[Name], 0)) &gt; 0, ROW() - ROW(Recipes[#Headers]), ""), "")</f>
        <v/>
      </c>
      <c r="V169" s="1" t="str">
        <f>IFERROR(SMALL(Recipes[Selected], ROW() - ROW(Recipes[#Headers])), "")</f>
        <v/>
      </c>
      <c r="W169" s="1" t="str">
        <f>IFERROR(INDEX(Recipes[Name], Recipes[[#This Row],[Selected Sorted]]), "")</f>
        <v/>
      </c>
      <c r="X169" s="1" t="str">
        <f>IFERROR(INDEX(Recipes[Component], Recipes[[#This Row],[Selected Sorted]]), "")</f>
        <v/>
      </c>
      <c r="Y169" s="1" t="str">
        <f>IFERROR(INDEX(Recipes[Quantity], Recipes[[#This Row],[Selected Sorted]]), "")</f>
        <v/>
      </c>
      <c r="AA169" t="s">
        <v>52</v>
      </c>
      <c r="AB169" t="s">
        <v>2</v>
      </c>
      <c r="AC169">
        <v>1</v>
      </c>
      <c r="AD169" s="1" t="str">
        <f>IFERROR(IF(INDEX(Items[Selected Count], MATCH(Recipes2[[#This Row],[Name]], Items[Name], 0)) &gt; 0, ROW() - ROW(Recipes2[#Headers]), ""), "")</f>
        <v/>
      </c>
      <c r="AE169" s="1" t="str">
        <f>IFERROR(SMALL(Recipes2[Selected], ROW() - ROW(Recipes2[#Headers])), "")</f>
        <v/>
      </c>
      <c r="AF169" s="1" t="str">
        <f>IFERROR(INDEX(Recipes2[Name], Recipes2[[#This Row],[Selected Sorted]]), "")</f>
        <v/>
      </c>
      <c r="AG169" s="1" t="str">
        <f>IFERROR(INDEX(Recipes2[Component], Recipes2[[#This Row],[Selected Sorted]]), "")</f>
        <v/>
      </c>
      <c r="AH169" s="1" t="str">
        <f>IFERROR(INDEX(Recipes2[Quantity], Recipes2[[#This Row],[Selected Sorted]]), "")</f>
        <v/>
      </c>
    </row>
    <row r="170" spans="18:34" x14ac:dyDescent="0.25">
      <c r="R170" t="s">
        <v>102</v>
      </c>
      <c r="S170" t="s">
        <v>8</v>
      </c>
      <c r="T170">
        <v>1</v>
      </c>
      <c r="U170" s="1" t="str">
        <f>IFERROR(IF(INDEX(Items[Selected Count], MATCH(Recipes[[#This Row],[Name]], Items[Name], 0)) &gt; 0, ROW() - ROW(Recipes[#Headers]), ""), "")</f>
        <v/>
      </c>
      <c r="V170" s="1" t="str">
        <f>IFERROR(SMALL(Recipes[Selected], ROW() - ROW(Recipes[#Headers])), "")</f>
        <v/>
      </c>
      <c r="W170" s="1" t="str">
        <f>IFERROR(INDEX(Recipes[Name], Recipes[[#This Row],[Selected Sorted]]), "")</f>
        <v/>
      </c>
      <c r="X170" s="1" t="str">
        <f>IFERROR(INDEX(Recipes[Component], Recipes[[#This Row],[Selected Sorted]]), "")</f>
        <v/>
      </c>
      <c r="Y170" s="1" t="str">
        <f>IFERROR(INDEX(Recipes[Quantity], Recipes[[#This Row],[Selected Sorted]]), "")</f>
        <v/>
      </c>
      <c r="AA170" t="s">
        <v>101</v>
      </c>
      <c r="AB170" t="s">
        <v>2</v>
      </c>
      <c r="AC170">
        <v>3</v>
      </c>
      <c r="AD170" s="1" t="str">
        <f>IFERROR(IF(INDEX(Items[Selected Count], MATCH(Recipes2[[#This Row],[Name]], Items[Name], 0)) &gt; 0, ROW() - ROW(Recipes2[#Headers]), ""), "")</f>
        <v/>
      </c>
      <c r="AE170" s="1" t="str">
        <f>IFERROR(SMALL(Recipes2[Selected], ROW() - ROW(Recipes2[#Headers])), "")</f>
        <v/>
      </c>
      <c r="AF170" s="1" t="str">
        <f>IFERROR(INDEX(Recipes2[Name], Recipes2[[#This Row],[Selected Sorted]]), "")</f>
        <v/>
      </c>
      <c r="AG170" s="1" t="str">
        <f>IFERROR(INDEX(Recipes2[Component], Recipes2[[#This Row],[Selected Sorted]]), "")</f>
        <v/>
      </c>
      <c r="AH170" s="1" t="str">
        <f>IFERROR(INDEX(Recipes2[Quantity], Recipes2[[#This Row],[Selected Sorted]]), "")</f>
        <v/>
      </c>
    </row>
    <row r="171" spans="18:34" x14ac:dyDescent="0.25">
      <c r="R171" t="s">
        <v>102</v>
      </c>
      <c r="S171" t="s">
        <v>23</v>
      </c>
      <c r="T171">
        <v>1</v>
      </c>
      <c r="U171" s="1" t="str">
        <f>IFERROR(IF(INDEX(Items[Selected Count], MATCH(Recipes[[#This Row],[Name]], Items[Name], 0)) &gt; 0, ROW() - ROW(Recipes[#Headers]), ""), "")</f>
        <v/>
      </c>
      <c r="V171" s="1" t="str">
        <f>IFERROR(SMALL(Recipes[Selected], ROW() - ROW(Recipes[#Headers])), "")</f>
        <v/>
      </c>
      <c r="W171" s="1" t="str">
        <f>IFERROR(INDEX(Recipes[Name], Recipes[[#This Row],[Selected Sorted]]), "")</f>
        <v/>
      </c>
      <c r="X171" s="1" t="str">
        <f>IFERROR(INDEX(Recipes[Component], Recipes[[#This Row],[Selected Sorted]]), "")</f>
        <v/>
      </c>
      <c r="Y171" s="1" t="str">
        <f>IFERROR(INDEX(Recipes[Quantity], Recipes[[#This Row],[Selected Sorted]]), "")</f>
        <v/>
      </c>
      <c r="AA171" t="s">
        <v>161</v>
      </c>
      <c r="AB171" t="s">
        <v>2</v>
      </c>
      <c r="AC171">
        <v>20</v>
      </c>
      <c r="AD171" s="1" t="str">
        <f>IFERROR(IF(INDEX(Items[Selected Count], MATCH(Recipes2[[#This Row],[Name]], Items[Name], 0)) &gt; 0, ROW() - ROW(Recipes2[#Headers]), ""), "")</f>
        <v/>
      </c>
      <c r="AE171" s="1" t="str">
        <f>IFERROR(SMALL(Recipes2[Selected], ROW() - ROW(Recipes2[#Headers])), "")</f>
        <v/>
      </c>
      <c r="AF171" s="1" t="str">
        <f>IFERROR(INDEX(Recipes2[Name], Recipes2[[#This Row],[Selected Sorted]]), "")</f>
        <v/>
      </c>
      <c r="AG171" s="1" t="str">
        <f>IFERROR(INDEX(Recipes2[Component], Recipes2[[#This Row],[Selected Sorted]]), "")</f>
        <v/>
      </c>
      <c r="AH171" s="1" t="str">
        <f>IFERROR(INDEX(Recipes2[Quantity], Recipes2[[#This Row],[Selected Sorted]]), "")</f>
        <v/>
      </c>
    </row>
    <row r="172" spans="18:34" x14ac:dyDescent="0.25">
      <c r="R172" t="s">
        <v>66</v>
      </c>
      <c r="S172" t="s">
        <v>5</v>
      </c>
      <c r="T172">
        <v>10</v>
      </c>
      <c r="U172" s="1" t="str">
        <f>IFERROR(IF(INDEX(Items[Selected Count], MATCH(Recipes[[#This Row],[Name]], Items[Name], 0)) &gt; 0, ROW() - ROW(Recipes[#Headers]), ""), "")</f>
        <v/>
      </c>
      <c r="V172" s="1" t="str">
        <f>IFERROR(SMALL(Recipes[Selected], ROW() - ROW(Recipes[#Headers])), "")</f>
        <v/>
      </c>
      <c r="W172" s="1" t="str">
        <f>IFERROR(INDEX(Recipes[Name], Recipes[[#This Row],[Selected Sorted]]), "")</f>
        <v/>
      </c>
      <c r="X172" s="1" t="str">
        <f>IFERROR(INDEX(Recipes[Component], Recipes[[#This Row],[Selected Sorted]]), "")</f>
        <v/>
      </c>
      <c r="Y172" s="1" t="str">
        <f>IFERROR(INDEX(Recipes[Quantity], Recipes[[#This Row],[Selected Sorted]]), "")</f>
        <v/>
      </c>
      <c r="AA172" t="s">
        <v>159</v>
      </c>
      <c r="AB172" t="s">
        <v>2</v>
      </c>
      <c r="AC172">
        <v>20</v>
      </c>
      <c r="AD172" s="1" t="str">
        <f>IFERROR(IF(INDEX(Items[Selected Count], MATCH(Recipes2[[#This Row],[Name]], Items[Name], 0)) &gt; 0, ROW() - ROW(Recipes2[#Headers]), ""), "")</f>
        <v/>
      </c>
      <c r="AE172" s="1" t="str">
        <f>IFERROR(SMALL(Recipes2[Selected], ROW() - ROW(Recipes2[#Headers])), "")</f>
        <v/>
      </c>
      <c r="AF172" s="1" t="str">
        <f>IFERROR(INDEX(Recipes2[Name], Recipes2[[#This Row],[Selected Sorted]]), "")</f>
        <v/>
      </c>
      <c r="AG172" s="1" t="str">
        <f>IFERROR(INDEX(Recipes2[Component], Recipes2[[#This Row],[Selected Sorted]]), "")</f>
        <v/>
      </c>
      <c r="AH172" s="1" t="str">
        <f>IFERROR(INDEX(Recipes2[Quantity], Recipes2[[#This Row],[Selected Sorted]]), "")</f>
        <v/>
      </c>
    </row>
    <row r="173" spans="18:34" x14ac:dyDescent="0.25">
      <c r="R173" t="s">
        <v>66</v>
      </c>
      <c r="S173" t="s">
        <v>8</v>
      </c>
      <c r="T173">
        <v>10</v>
      </c>
      <c r="U173" s="1" t="str">
        <f>IFERROR(IF(INDEX(Items[Selected Count], MATCH(Recipes[[#This Row],[Name]], Items[Name], 0)) &gt; 0, ROW() - ROW(Recipes[#Headers]), ""), "")</f>
        <v/>
      </c>
      <c r="V173" s="1" t="str">
        <f>IFERROR(SMALL(Recipes[Selected], ROW() - ROW(Recipes[#Headers])), "")</f>
        <v/>
      </c>
      <c r="W173" s="1" t="str">
        <f>IFERROR(INDEX(Recipes[Name], Recipes[[#This Row],[Selected Sorted]]), "")</f>
        <v/>
      </c>
      <c r="X173" s="1" t="str">
        <f>IFERROR(INDEX(Recipes[Component], Recipes[[#This Row],[Selected Sorted]]), "")</f>
        <v/>
      </c>
      <c r="Y173" s="1" t="str">
        <f>IFERROR(INDEX(Recipes[Quantity], Recipes[[#This Row],[Selected Sorted]]), "")</f>
        <v/>
      </c>
      <c r="AA173" t="s">
        <v>87</v>
      </c>
      <c r="AB173" t="s">
        <v>2</v>
      </c>
      <c r="AC173">
        <v>10</v>
      </c>
      <c r="AD173" s="1" t="str">
        <f>IFERROR(IF(INDEX(Items[Selected Count], MATCH(Recipes2[[#This Row],[Name]], Items[Name], 0)) &gt; 0, ROW() - ROW(Recipes2[#Headers]), ""), "")</f>
        <v/>
      </c>
      <c r="AE173" s="1" t="str">
        <f>IFERROR(SMALL(Recipes2[Selected], ROW() - ROW(Recipes2[#Headers])), "")</f>
        <v/>
      </c>
      <c r="AF173" s="1" t="str">
        <f>IFERROR(INDEX(Recipes2[Name], Recipes2[[#This Row],[Selected Sorted]]), "")</f>
        <v/>
      </c>
      <c r="AG173" s="1" t="str">
        <f>IFERROR(INDEX(Recipes2[Component], Recipes2[[#This Row],[Selected Sorted]]), "")</f>
        <v/>
      </c>
      <c r="AH173" s="1" t="str">
        <f>IFERROR(INDEX(Recipes2[Quantity], Recipes2[[#This Row],[Selected Sorted]]), "")</f>
        <v/>
      </c>
    </row>
    <row r="174" spans="18:34" x14ac:dyDescent="0.25">
      <c r="R174" t="s">
        <v>66</v>
      </c>
      <c r="S174" t="s">
        <v>23</v>
      </c>
      <c r="T174">
        <v>10</v>
      </c>
      <c r="U174" s="1" t="str">
        <f>IFERROR(IF(INDEX(Items[Selected Count], MATCH(Recipes[[#This Row],[Name]], Items[Name], 0)) &gt; 0, ROW() - ROW(Recipes[#Headers]), ""), "")</f>
        <v/>
      </c>
      <c r="V174" s="1" t="str">
        <f>IFERROR(SMALL(Recipes[Selected], ROW() - ROW(Recipes[#Headers])), "")</f>
        <v/>
      </c>
      <c r="W174" s="1" t="str">
        <f>IFERROR(INDEX(Recipes[Name], Recipes[[#This Row],[Selected Sorted]]), "")</f>
        <v/>
      </c>
      <c r="X174" s="1" t="str">
        <f>IFERROR(INDEX(Recipes[Component], Recipes[[#This Row],[Selected Sorted]]), "")</f>
        <v/>
      </c>
      <c r="Y174" s="1" t="str">
        <f>IFERROR(INDEX(Recipes[Quantity], Recipes[[#This Row],[Selected Sorted]]), "")</f>
        <v/>
      </c>
      <c r="AA174" t="s">
        <v>5</v>
      </c>
      <c r="AB174" t="s">
        <v>2</v>
      </c>
      <c r="AC174">
        <v>1</v>
      </c>
      <c r="AD174">
        <f>IFERROR(IF(INDEX(Items[Selected Count], MATCH(Recipes2[[#This Row],[Name]], Items[Name], 0)) &gt; 0, ROW() - ROW(Recipes2[#Headers]), ""), "")</f>
        <v>173</v>
      </c>
      <c r="AE174" t="str">
        <f>IFERROR(SMALL(Recipes2[Selected], ROW() - ROW(Recipes2[#Headers])), "")</f>
        <v/>
      </c>
      <c r="AF174" t="str">
        <f>IFERROR(INDEX(Recipes2[Name], Recipes2[[#This Row],[Selected Sorted]]), "")</f>
        <v/>
      </c>
      <c r="AG174" t="str">
        <f>IFERROR(INDEX(Recipes2[Component], Recipes2[[#This Row],[Selected Sorted]]), "")</f>
        <v/>
      </c>
      <c r="AH174" s="1" t="str">
        <f>IFERROR(INDEX(Recipes2[Quantity], Recipes2[[#This Row],[Selected Sorted]]), "")</f>
        <v/>
      </c>
    </row>
    <row r="175" spans="18:34" x14ac:dyDescent="0.25">
      <c r="R175" t="s">
        <v>66</v>
      </c>
      <c r="S175" t="s">
        <v>35</v>
      </c>
      <c r="T175">
        <v>15</v>
      </c>
      <c r="U175" s="1" t="str">
        <f>IFERROR(IF(INDEX(Items[Selected Count], MATCH(Recipes[[#This Row],[Name]], Items[Name], 0)) &gt; 0, ROW() - ROW(Recipes[#Headers]), ""), "")</f>
        <v/>
      </c>
      <c r="V175" s="1" t="str">
        <f>IFERROR(SMALL(Recipes[Selected], ROW() - ROW(Recipes[#Headers])), "")</f>
        <v/>
      </c>
      <c r="W175" s="1" t="str">
        <f>IFERROR(INDEX(Recipes[Name], Recipes[[#This Row],[Selected Sorted]]), "")</f>
        <v/>
      </c>
      <c r="X175" s="1" t="str">
        <f>IFERROR(INDEX(Recipes[Component], Recipes[[#This Row],[Selected Sorted]]), "")</f>
        <v/>
      </c>
      <c r="Y175" s="1" t="str">
        <f>IFERROR(INDEX(Recipes[Quantity], Recipes[[#This Row],[Selected Sorted]]), "")</f>
        <v/>
      </c>
      <c r="AA175" t="s">
        <v>44</v>
      </c>
      <c r="AB175" t="s">
        <v>2</v>
      </c>
      <c r="AC175">
        <v>2</v>
      </c>
      <c r="AD175" t="str">
        <f>IFERROR(IF(INDEX(Items[Selected Count], MATCH(Recipes2[[#This Row],[Name]], Items[Name], 0)) &gt; 0, ROW() - ROW(Recipes2[#Headers]), ""), "")</f>
        <v/>
      </c>
      <c r="AE175" t="str">
        <f>IFERROR(SMALL(Recipes2[Selected], ROW() - ROW(Recipes2[#Headers])), "")</f>
        <v/>
      </c>
      <c r="AF175" t="str">
        <f>IFERROR(INDEX(Recipes2[Name], Recipes2[[#This Row],[Selected Sorted]]), "")</f>
        <v/>
      </c>
      <c r="AG175" t="str">
        <f>IFERROR(INDEX(Recipes2[Component], Recipes2[[#This Row],[Selected Sorted]]), "")</f>
        <v/>
      </c>
      <c r="AH175" s="1" t="str">
        <f>IFERROR(INDEX(Recipes2[Quantity], Recipes2[[#This Row],[Selected Sorted]]), "")</f>
        <v/>
      </c>
    </row>
    <row r="176" spans="18:34" x14ac:dyDescent="0.25">
      <c r="R176" t="s">
        <v>66</v>
      </c>
      <c r="S176" t="s">
        <v>83</v>
      </c>
      <c r="T176">
        <v>10</v>
      </c>
      <c r="U176" s="1" t="str">
        <f>IFERROR(IF(INDEX(Items[Selected Count], MATCH(Recipes[[#This Row],[Name]], Items[Name], 0)) &gt; 0, ROW() - ROW(Recipes[#Headers]), ""), "")</f>
        <v/>
      </c>
      <c r="V176" s="1" t="str">
        <f>IFERROR(SMALL(Recipes[Selected], ROW() - ROW(Recipes[#Headers])), "")</f>
        <v/>
      </c>
      <c r="W176" s="1" t="str">
        <f>IFERROR(INDEX(Recipes[Name], Recipes[[#This Row],[Selected Sorted]]), "")</f>
        <v/>
      </c>
      <c r="X176" s="1" t="str">
        <f>IFERROR(INDEX(Recipes[Component], Recipes[[#This Row],[Selected Sorted]]), "")</f>
        <v/>
      </c>
      <c r="Y176" s="1" t="str">
        <f>IFERROR(INDEX(Recipes[Quantity], Recipes[[#This Row],[Selected Sorted]]), "")</f>
        <v/>
      </c>
      <c r="AA176" t="s">
        <v>71</v>
      </c>
      <c r="AB176" t="s">
        <v>2</v>
      </c>
      <c r="AC176">
        <v>4</v>
      </c>
      <c r="AD176" t="str">
        <f>IFERROR(IF(INDEX(Items[Selected Count], MATCH(Recipes2[[#This Row],[Name]], Items[Name], 0)) &gt; 0, ROW() - ROW(Recipes2[#Headers]), ""), "")</f>
        <v/>
      </c>
      <c r="AE176" t="str">
        <f>IFERROR(SMALL(Recipes2[Selected], ROW() - ROW(Recipes2[#Headers])), "")</f>
        <v/>
      </c>
      <c r="AF176" t="str">
        <f>IFERROR(INDEX(Recipes2[Name], Recipes2[[#This Row],[Selected Sorted]]), "")</f>
        <v/>
      </c>
      <c r="AG176" t="str">
        <f>IFERROR(INDEX(Recipes2[Component], Recipes2[[#This Row],[Selected Sorted]]), "")</f>
        <v/>
      </c>
      <c r="AH176" s="1" t="str">
        <f>IFERROR(INDEX(Recipes2[Quantity], Recipes2[[#This Row],[Selected Sorted]]), "")</f>
        <v/>
      </c>
    </row>
    <row r="177" spans="18:34" x14ac:dyDescent="0.25">
      <c r="R177" t="s">
        <v>164</v>
      </c>
      <c r="S177" t="s">
        <v>6</v>
      </c>
      <c r="T177">
        <v>1</v>
      </c>
      <c r="U177" s="1" t="str">
        <f>IFERROR(IF(INDEX(Items[Selected Count], MATCH(Recipes[[#This Row],[Name]], Items[Name], 0)) &gt; 0, ROW() - ROW(Recipes[#Headers]), ""), "")</f>
        <v/>
      </c>
      <c r="V177" s="1" t="str">
        <f>IFERROR(SMALL(Recipes[Selected], ROW() - ROW(Recipes[#Headers])), "")</f>
        <v/>
      </c>
      <c r="W177" s="1" t="str">
        <f>IFERROR(INDEX(Recipes[Name], Recipes[[#This Row],[Selected Sorted]]), "")</f>
        <v/>
      </c>
      <c r="X177" s="1" t="str">
        <f>IFERROR(INDEX(Recipes[Component], Recipes[[#This Row],[Selected Sorted]]), "")</f>
        <v/>
      </c>
      <c r="Y177" s="1" t="str">
        <f>IFERROR(INDEX(Recipes[Quantity], Recipes[[#This Row],[Selected Sorted]]), "")</f>
        <v/>
      </c>
      <c r="AA177" t="s">
        <v>37</v>
      </c>
      <c r="AB177" t="s">
        <v>2</v>
      </c>
      <c r="AC177">
        <v>5</v>
      </c>
      <c r="AD177" t="str">
        <f>IFERROR(IF(INDEX(Items[Selected Count], MATCH(Recipes2[[#This Row],[Name]], Items[Name], 0)) &gt; 0, ROW() - ROW(Recipes2[#Headers]), ""), "")</f>
        <v/>
      </c>
      <c r="AE177" t="str">
        <f>IFERROR(SMALL(Recipes2[Selected], ROW() - ROW(Recipes2[#Headers])), "")</f>
        <v/>
      </c>
      <c r="AF177" t="str">
        <f>IFERROR(INDEX(Recipes2[Name], Recipes2[[#This Row],[Selected Sorted]]), "")</f>
        <v/>
      </c>
      <c r="AG177" t="str">
        <f>IFERROR(INDEX(Recipes2[Component], Recipes2[[#This Row],[Selected Sorted]]), "")</f>
        <v/>
      </c>
      <c r="AH177" s="1" t="str">
        <f>IFERROR(INDEX(Recipes2[Quantity], Recipes2[[#This Row],[Selected Sorted]]), "")</f>
        <v/>
      </c>
    </row>
    <row r="178" spans="18:34" x14ac:dyDescent="0.25">
      <c r="R178" t="s">
        <v>164</v>
      </c>
      <c r="S178" t="s">
        <v>5</v>
      </c>
      <c r="T178">
        <v>3</v>
      </c>
      <c r="U178" s="1" t="str">
        <f>IFERROR(IF(INDEX(Items[Selected Count], MATCH(Recipes[[#This Row],[Name]], Items[Name], 0)) &gt; 0, ROW() - ROW(Recipes[#Headers]), ""), "")</f>
        <v/>
      </c>
      <c r="V178" s="1" t="str">
        <f>IFERROR(SMALL(Recipes[Selected], ROW() - ROW(Recipes[#Headers])), "")</f>
        <v/>
      </c>
      <c r="W178" s="1" t="str">
        <f>IFERROR(INDEX(Recipes[Name], Recipes[[#This Row],[Selected Sorted]]), "")</f>
        <v/>
      </c>
      <c r="X178" s="1" t="str">
        <f>IFERROR(INDEX(Recipes[Component], Recipes[[#This Row],[Selected Sorted]]), "")</f>
        <v/>
      </c>
      <c r="Y178" s="1" t="str">
        <f>IFERROR(INDEX(Recipes[Quantity], Recipes[[#This Row],[Selected Sorted]]), "")</f>
        <v/>
      </c>
      <c r="AA178" t="s">
        <v>36</v>
      </c>
      <c r="AB178" t="s">
        <v>2</v>
      </c>
      <c r="AC178">
        <v>20</v>
      </c>
      <c r="AD178" t="str">
        <f>IFERROR(IF(INDEX(Items[Selected Count], MATCH(Recipes2[[#This Row],[Name]], Items[Name], 0)) &gt; 0, ROW() - ROW(Recipes2[#Headers]), ""), "")</f>
        <v/>
      </c>
      <c r="AE178" t="str">
        <f>IFERROR(SMALL(Recipes2[Selected], ROW() - ROW(Recipes2[#Headers])), "")</f>
        <v/>
      </c>
      <c r="AF178" t="str">
        <f>IFERROR(INDEX(Recipes2[Name], Recipes2[[#This Row],[Selected Sorted]]), "")</f>
        <v/>
      </c>
      <c r="AG178" t="str">
        <f>IFERROR(INDEX(Recipes2[Component], Recipes2[[#This Row],[Selected Sorted]]), "")</f>
        <v/>
      </c>
      <c r="AH178" s="1" t="str">
        <f>IFERROR(INDEX(Recipes2[Quantity], Recipes2[[#This Row],[Selected Sorted]]), "")</f>
        <v/>
      </c>
    </row>
    <row r="179" spans="18:34" x14ac:dyDescent="0.25">
      <c r="R179" t="s">
        <v>164</v>
      </c>
      <c r="S179" t="s">
        <v>107</v>
      </c>
      <c r="T179">
        <v>1</v>
      </c>
      <c r="U179" s="1" t="str">
        <f>IFERROR(IF(INDEX(Items[Selected Count], MATCH(Recipes[[#This Row],[Name]], Items[Name], 0)) &gt; 0, ROW() - ROW(Recipes[#Headers]), ""), "")</f>
        <v/>
      </c>
      <c r="V179" s="1" t="str">
        <f>IFERROR(SMALL(Recipes[Selected], ROW() - ROW(Recipes[#Headers])), "")</f>
        <v/>
      </c>
      <c r="W179" s="1" t="str">
        <f>IFERROR(INDEX(Recipes[Name], Recipes[[#This Row],[Selected Sorted]]), "")</f>
        <v/>
      </c>
      <c r="X179" s="1" t="str">
        <f>IFERROR(INDEX(Recipes[Component], Recipes[[#This Row],[Selected Sorted]]), "")</f>
        <v/>
      </c>
      <c r="Y179" s="1" t="str">
        <f>IFERROR(INDEX(Recipes[Quantity], Recipes[[#This Row],[Selected Sorted]]), "")</f>
        <v/>
      </c>
      <c r="AA179" t="s">
        <v>42</v>
      </c>
      <c r="AB179" t="s">
        <v>2</v>
      </c>
      <c r="AC179">
        <v>1</v>
      </c>
      <c r="AD179" t="str">
        <f>IFERROR(IF(INDEX(Items[Selected Count], MATCH(Recipes2[[#This Row],[Name]], Items[Name], 0)) &gt; 0, ROW() - ROW(Recipes2[#Headers]), ""), "")</f>
        <v/>
      </c>
      <c r="AE179" t="str">
        <f>IFERROR(SMALL(Recipes2[Selected], ROW() - ROW(Recipes2[#Headers])), "")</f>
        <v/>
      </c>
      <c r="AF179" t="str">
        <f>IFERROR(INDEX(Recipes2[Name], Recipes2[[#This Row],[Selected Sorted]]), "")</f>
        <v/>
      </c>
      <c r="AG179" t="str">
        <f>IFERROR(INDEX(Recipes2[Component], Recipes2[[#This Row],[Selected Sorted]]), "")</f>
        <v/>
      </c>
      <c r="AH179" s="1" t="str">
        <f>IFERROR(INDEX(Recipes2[Quantity], Recipes2[[#This Row],[Selected Sorted]]), "")</f>
        <v/>
      </c>
    </row>
    <row r="180" spans="18:34" x14ac:dyDescent="0.25">
      <c r="R180" t="s">
        <v>34</v>
      </c>
      <c r="S180" t="s">
        <v>4</v>
      </c>
      <c r="T180">
        <v>5</v>
      </c>
      <c r="U180" s="1" t="str">
        <f>IFERROR(IF(INDEX(Items[Selected Count], MATCH(Recipes[[#This Row],[Name]], Items[Name], 0)) &gt; 0, ROW() - ROW(Recipes[#Headers]), ""), "")</f>
        <v/>
      </c>
      <c r="V180" s="1" t="str">
        <f>IFERROR(SMALL(Recipes[Selected], ROW() - ROW(Recipes[#Headers])), "")</f>
        <v/>
      </c>
      <c r="W180" s="1" t="str">
        <f>IFERROR(INDEX(Recipes[Name], Recipes[[#This Row],[Selected Sorted]]), "")</f>
        <v/>
      </c>
      <c r="X180" s="1" t="str">
        <f>IFERROR(INDEX(Recipes[Component], Recipes[[#This Row],[Selected Sorted]]), "")</f>
        <v/>
      </c>
      <c r="Y180" s="1" t="str">
        <f>IFERROR(INDEX(Recipes[Quantity], Recipes[[#This Row],[Selected Sorted]]), "")</f>
        <v/>
      </c>
      <c r="AA180" t="s">
        <v>140</v>
      </c>
      <c r="AB180" t="s">
        <v>2</v>
      </c>
      <c r="AC180">
        <v>3</v>
      </c>
      <c r="AD180" s="1" t="str">
        <f>IFERROR(IF(INDEX(Items[Selected Count], MATCH(Recipes2[[#This Row],[Name]], Items[Name], 0)) &gt; 0, ROW() - ROW(Recipes2[#Headers]), ""), "")</f>
        <v/>
      </c>
      <c r="AE180" s="1" t="str">
        <f>IFERROR(SMALL(Recipes2[Selected], ROW() - ROW(Recipes2[#Headers])), "")</f>
        <v/>
      </c>
      <c r="AF180" s="1" t="str">
        <f>IFERROR(INDEX(Recipes2[Name], Recipes2[[#This Row],[Selected Sorted]]), "")</f>
        <v/>
      </c>
      <c r="AG180" s="1" t="str">
        <f>IFERROR(INDEX(Recipes2[Component], Recipes2[[#This Row],[Selected Sorted]]), "")</f>
        <v/>
      </c>
      <c r="AH180" s="1" t="str">
        <f>IFERROR(INDEX(Recipes2[Quantity], Recipes2[[#This Row],[Selected Sorted]]), "")</f>
        <v/>
      </c>
    </row>
    <row r="181" spans="18:34" x14ac:dyDescent="0.25">
      <c r="R181" t="s">
        <v>34</v>
      </c>
      <c r="S181" t="s">
        <v>71</v>
      </c>
      <c r="T181">
        <v>1</v>
      </c>
      <c r="U181" t="str">
        <f>IFERROR(IF(INDEX(Items[Selected Count], MATCH(Recipes[[#This Row],[Name]], Items[Name], 0)) &gt; 0, ROW() - ROW(Recipes[#Headers]), ""), "")</f>
        <v/>
      </c>
      <c r="V181" t="str">
        <f>IFERROR(SMALL(Recipes[Selected], ROW() - ROW(Recipes[#Headers])), "")</f>
        <v/>
      </c>
      <c r="W181" t="str">
        <f>IFERROR(INDEX(Recipes[Name], Recipes[[#This Row],[Selected Sorted]]), "")</f>
        <v/>
      </c>
      <c r="X181" t="str">
        <f>IFERROR(INDEX(Recipes[Component], Recipes[[#This Row],[Selected Sorted]]), "")</f>
        <v/>
      </c>
      <c r="Y181" s="1" t="str">
        <f>IFERROR(INDEX(Recipes[Quantity], Recipes[[#This Row],[Selected Sorted]]), "")</f>
        <v/>
      </c>
      <c r="AA181" t="s">
        <v>106</v>
      </c>
      <c r="AB181" t="s">
        <v>2</v>
      </c>
      <c r="AC181">
        <v>8</v>
      </c>
      <c r="AD181" s="1" t="str">
        <f>IFERROR(IF(INDEX(Items[Selected Count], MATCH(Recipes2[[#This Row],[Name]], Items[Name], 0)) &gt; 0, ROW() - ROW(Recipes2[#Headers]), ""), "")</f>
        <v/>
      </c>
      <c r="AE181" s="1" t="str">
        <f>IFERROR(SMALL(Recipes2[Selected], ROW() - ROW(Recipes2[#Headers])), "")</f>
        <v/>
      </c>
      <c r="AF181" s="1" t="str">
        <f>IFERROR(INDEX(Recipes2[Name], Recipes2[[#This Row],[Selected Sorted]]), "")</f>
        <v/>
      </c>
      <c r="AG181" s="1" t="str">
        <f>IFERROR(INDEX(Recipes2[Component], Recipes2[[#This Row],[Selected Sorted]]), "")</f>
        <v/>
      </c>
      <c r="AH181" s="1" t="str">
        <f>IFERROR(INDEX(Recipes2[Quantity], Recipes2[[#This Row],[Selected Sorted]]), "")</f>
        <v/>
      </c>
    </row>
    <row r="182" spans="18:34" x14ac:dyDescent="0.25">
      <c r="R182" t="s">
        <v>34</v>
      </c>
      <c r="S182" t="s">
        <v>35</v>
      </c>
      <c r="T182">
        <v>1</v>
      </c>
      <c r="U182" t="str">
        <f>IFERROR(IF(INDEX(Items[Selected Count], MATCH(Recipes[[#This Row],[Name]], Items[Name], 0)) &gt; 0, ROW() - ROW(Recipes[#Headers]), ""), "")</f>
        <v/>
      </c>
      <c r="V182" t="str">
        <f>IFERROR(SMALL(Recipes[Selected], ROW() - ROW(Recipes[#Headers])), "")</f>
        <v/>
      </c>
      <c r="W182" t="str">
        <f>IFERROR(INDEX(Recipes[Name], Recipes[[#This Row],[Selected Sorted]]), "")</f>
        <v/>
      </c>
      <c r="X182" t="str">
        <f>IFERROR(INDEX(Recipes[Component], Recipes[[#This Row],[Selected Sorted]]), "")</f>
        <v/>
      </c>
      <c r="Y182" s="1" t="str">
        <f>IFERROR(INDEX(Recipes[Quantity], Recipes[[#This Row],[Selected Sorted]]), "")</f>
        <v/>
      </c>
      <c r="AA182" t="s">
        <v>8</v>
      </c>
      <c r="AB182" t="s">
        <v>2</v>
      </c>
      <c r="AC182">
        <v>2</v>
      </c>
      <c r="AD182" t="str">
        <f>IFERROR(IF(INDEX(Items[Selected Count], MATCH(Recipes2[[#This Row],[Name]], Items[Name], 0)) &gt; 0, ROW() - ROW(Recipes2[#Headers]), ""), "")</f>
        <v/>
      </c>
      <c r="AE182" t="str">
        <f>IFERROR(SMALL(Recipes2[Selected], ROW() - ROW(Recipes2[#Headers])), "")</f>
        <v/>
      </c>
      <c r="AF182" t="str">
        <f>IFERROR(INDEX(Recipes2[Name], Recipes2[[#This Row],[Selected Sorted]]), "")</f>
        <v/>
      </c>
      <c r="AG182" t="str">
        <f>IFERROR(INDEX(Recipes2[Component], Recipes2[[#This Row],[Selected Sorted]]), "")</f>
        <v/>
      </c>
      <c r="AH182" s="1" t="str">
        <f>IFERROR(INDEX(Recipes2[Quantity], Recipes2[[#This Row],[Selected Sorted]]), "")</f>
        <v/>
      </c>
    </row>
    <row r="183" spans="18:34" x14ac:dyDescent="0.25">
      <c r="R183" t="s">
        <v>23</v>
      </c>
      <c r="S183" t="s">
        <v>2</v>
      </c>
      <c r="T183">
        <v>1</v>
      </c>
      <c r="U183" t="str">
        <f>IFERROR(IF(INDEX(Items[Selected Count], MATCH(Recipes[[#This Row],[Name]], Items[Name], 0)) &gt; 0, ROW() - ROW(Recipes[#Headers]), ""), "")</f>
        <v/>
      </c>
      <c r="V183" t="str">
        <f>IFERROR(SMALL(Recipes[Selected], ROW() - ROW(Recipes[#Headers])), "")</f>
        <v/>
      </c>
      <c r="W183" t="str">
        <f>IFERROR(INDEX(Recipes[Name], Recipes[[#This Row],[Selected Sorted]]), "")</f>
        <v/>
      </c>
      <c r="X183" t="str">
        <f>IFERROR(INDEX(Recipes[Component], Recipes[[#This Row],[Selected Sorted]]), "")</f>
        <v/>
      </c>
      <c r="Y183" s="1" t="str">
        <f>IFERROR(INDEX(Recipes[Quantity], Recipes[[#This Row],[Selected Sorted]]), "")</f>
        <v/>
      </c>
      <c r="AA183" t="s">
        <v>138</v>
      </c>
      <c r="AB183" t="s">
        <v>2</v>
      </c>
      <c r="AC183">
        <v>1</v>
      </c>
      <c r="AD183" s="1" t="str">
        <f>IFERROR(IF(INDEX(Items[Selected Count], MATCH(Recipes2[[#This Row],[Name]], Items[Name], 0)) &gt; 0, ROW() - ROW(Recipes2[#Headers]), ""), "")</f>
        <v/>
      </c>
      <c r="AE183" s="1" t="str">
        <f>IFERROR(SMALL(Recipes2[Selected], ROW() - ROW(Recipes2[#Headers])), "")</f>
        <v/>
      </c>
      <c r="AF183" s="1" t="str">
        <f>IFERROR(INDEX(Recipes2[Name], Recipes2[[#This Row],[Selected Sorted]]), "")</f>
        <v/>
      </c>
      <c r="AG183" s="1" t="str">
        <f>IFERROR(INDEX(Recipes2[Component], Recipes2[[#This Row],[Selected Sorted]]), "")</f>
        <v/>
      </c>
      <c r="AH183" s="1" t="str">
        <f>IFERROR(INDEX(Recipes2[Quantity], Recipes2[[#This Row],[Selected Sorted]]), "")</f>
        <v/>
      </c>
    </row>
    <row r="184" spans="18:34" x14ac:dyDescent="0.25">
      <c r="R184" t="s">
        <v>152</v>
      </c>
      <c r="S184" t="s">
        <v>2</v>
      </c>
      <c r="T184">
        <v>5</v>
      </c>
      <c r="U184" s="1" t="str">
        <f>IFERROR(IF(INDEX(Items[Selected Count], MATCH(Recipes[[#This Row],[Name]], Items[Name], 0)) &gt; 0, ROW() - ROW(Recipes[#Headers]), ""), "")</f>
        <v/>
      </c>
      <c r="V184" s="1" t="str">
        <f>IFERROR(SMALL(Recipes[Selected], ROW() - ROW(Recipes[#Headers])), "")</f>
        <v/>
      </c>
      <c r="W184" s="1" t="str">
        <f>IFERROR(INDEX(Recipes[Name], Recipes[[#This Row],[Selected Sorted]]), "")</f>
        <v/>
      </c>
      <c r="X184" s="1" t="str">
        <f>IFERROR(INDEX(Recipes[Component], Recipes[[#This Row],[Selected Sorted]]), "")</f>
        <v/>
      </c>
      <c r="Y184" s="1" t="str">
        <f>IFERROR(INDEX(Recipes[Quantity], Recipes[[#This Row],[Selected Sorted]]), "")</f>
        <v/>
      </c>
      <c r="AA184" t="s">
        <v>43</v>
      </c>
      <c r="AB184" t="s">
        <v>2</v>
      </c>
      <c r="AC184">
        <v>1</v>
      </c>
      <c r="AD184" t="str">
        <f>IFERROR(IF(INDEX(Items[Selected Count], MATCH(Recipes2[[#This Row],[Name]], Items[Name], 0)) &gt; 0, ROW() - ROW(Recipes2[#Headers]), ""), "")</f>
        <v/>
      </c>
      <c r="AE184" t="str">
        <f>IFERROR(SMALL(Recipes2[Selected], ROW() - ROW(Recipes2[#Headers])), "")</f>
        <v/>
      </c>
      <c r="AF184" t="str">
        <f>IFERROR(INDEX(Recipes2[Name], Recipes2[[#This Row],[Selected Sorted]]), "")</f>
        <v/>
      </c>
      <c r="AG184" t="str">
        <f>IFERROR(INDEX(Recipes2[Component], Recipes2[[#This Row],[Selected Sorted]]), "")</f>
        <v/>
      </c>
      <c r="AH184" s="1" t="str">
        <f>IFERROR(INDEX(Recipes2[Quantity], Recipes2[[#This Row],[Selected Sorted]]), "")</f>
        <v/>
      </c>
    </row>
    <row r="185" spans="18:34" x14ac:dyDescent="0.25">
      <c r="R185" t="s">
        <v>152</v>
      </c>
      <c r="S185" t="s">
        <v>23</v>
      </c>
      <c r="T185">
        <v>10</v>
      </c>
      <c r="U185" s="1" t="str">
        <f>IFERROR(IF(INDEX(Items[Selected Count], MATCH(Recipes[[#This Row],[Name]], Items[Name], 0)) &gt; 0, ROW() - ROW(Recipes[#Headers]), ""), "")</f>
        <v/>
      </c>
      <c r="V185" s="1" t="str">
        <f>IFERROR(SMALL(Recipes[Selected], ROW() - ROW(Recipes[#Headers])), "")</f>
        <v/>
      </c>
      <c r="W185" s="1" t="str">
        <f>IFERROR(INDEX(Recipes[Name], Recipes[[#This Row],[Selected Sorted]]), "")</f>
        <v/>
      </c>
      <c r="X185" s="1" t="str">
        <f>IFERROR(INDEX(Recipes[Component], Recipes[[#This Row],[Selected Sorted]]), "")</f>
        <v/>
      </c>
      <c r="Y185" s="1" t="str">
        <f>IFERROR(INDEX(Recipes[Quantity], Recipes[[#This Row],[Selected Sorted]]), "")</f>
        <v/>
      </c>
      <c r="AA185" t="s">
        <v>23</v>
      </c>
      <c r="AB185" t="s">
        <v>2</v>
      </c>
      <c r="AC185">
        <v>1</v>
      </c>
      <c r="AD185" t="str">
        <f>IFERROR(IF(INDEX(Items[Selected Count], MATCH(Recipes2[[#This Row],[Name]], Items[Name], 0)) &gt; 0, ROW() - ROW(Recipes2[#Headers]), ""), "")</f>
        <v/>
      </c>
      <c r="AE185" t="str">
        <f>IFERROR(SMALL(Recipes2[Selected], ROW() - ROW(Recipes2[#Headers])), "")</f>
        <v/>
      </c>
      <c r="AF185" t="str">
        <f>IFERROR(INDEX(Recipes2[Name], Recipes2[[#This Row],[Selected Sorted]]), "")</f>
        <v/>
      </c>
      <c r="AG185" t="str">
        <f>IFERROR(INDEX(Recipes2[Component], Recipes2[[#This Row],[Selected Sorted]]), "")</f>
        <v/>
      </c>
      <c r="AH185" s="1" t="str">
        <f>IFERROR(INDEX(Recipes2[Quantity], Recipes2[[#This Row],[Selected Sorted]]), "")</f>
        <v/>
      </c>
    </row>
    <row r="186" spans="18:34" x14ac:dyDescent="0.25">
      <c r="R186" t="s">
        <v>3</v>
      </c>
      <c r="S186" t="s">
        <v>38</v>
      </c>
      <c r="T186">
        <v>1</v>
      </c>
      <c r="U186" s="1" t="str">
        <f>IFERROR(IF(INDEX(Items[Selected Count], MATCH(Recipes[[#This Row],[Name]], Items[Name], 0)) &gt; 0, ROW() - ROW(Recipes[#Headers]), ""), "")</f>
        <v/>
      </c>
      <c r="V186" s="1" t="str">
        <f>IFERROR(SMALL(Recipes[Selected], ROW() - ROW(Recipes[#Headers])), "")</f>
        <v/>
      </c>
      <c r="W186" s="1" t="str">
        <f>IFERROR(INDEX(Recipes[Name], Recipes[[#This Row],[Selected Sorted]]), "")</f>
        <v/>
      </c>
      <c r="X186" s="1" t="str">
        <f>IFERROR(INDEX(Recipes[Component], Recipes[[#This Row],[Selected Sorted]]), "")</f>
        <v/>
      </c>
      <c r="Y186" s="1" t="str">
        <f>IFERROR(INDEX(Recipes[Quantity], Recipes[[#This Row],[Selected Sorted]]), "")</f>
        <v/>
      </c>
      <c r="AA186" t="s">
        <v>152</v>
      </c>
      <c r="AB186" t="s">
        <v>2</v>
      </c>
      <c r="AC186">
        <v>5</v>
      </c>
      <c r="AD186" s="1" t="str">
        <f>IFERROR(IF(INDEX(Items[Selected Count], MATCH(Recipes2[[#This Row],[Name]], Items[Name], 0)) &gt; 0, ROW() - ROW(Recipes2[#Headers]), ""), "")</f>
        <v/>
      </c>
      <c r="AE186" s="1" t="str">
        <f>IFERROR(SMALL(Recipes2[Selected], ROW() - ROW(Recipes2[#Headers])), "")</f>
        <v/>
      </c>
      <c r="AF186" s="1" t="str">
        <f>IFERROR(INDEX(Recipes2[Name], Recipes2[[#This Row],[Selected Sorted]]), "")</f>
        <v/>
      </c>
      <c r="AG186" s="1" t="str">
        <f>IFERROR(INDEX(Recipes2[Component], Recipes2[[#This Row],[Selected Sorted]]), "")</f>
        <v/>
      </c>
      <c r="AH186" s="1" t="str">
        <f>IFERROR(INDEX(Recipes2[Quantity], Recipes2[[#This Row],[Selected Sorted]]), "")</f>
        <v/>
      </c>
    </row>
    <row r="187" spans="18:34" x14ac:dyDescent="0.25">
      <c r="R187" t="s">
        <v>3</v>
      </c>
      <c r="S187" t="s">
        <v>65</v>
      </c>
      <c r="T187">
        <v>20</v>
      </c>
      <c r="U187" s="1" t="str">
        <f>IFERROR(IF(INDEX(Items[Selected Count], MATCH(Recipes[[#This Row],[Name]], Items[Name], 0)) &gt; 0, ROW() - ROW(Recipes[#Headers]), ""), "")</f>
        <v/>
      </c>
      <c r="V187" s="1" t="str">
        <f>IFERROR(SMALL(Recipes[Selected], ROW() - ROW(Recipes[#Headers])), "")</f>
        <v/>
      </c>
      <c r="W187" s="1" t="str">
        <f>IFERROR(INDEX(Recipes[Name], Recipes[[#This Row],[Selected Sorted]]), "")</f>
        <v/>
      </c>
      <c r="X187" s="1" t="str">
        <f>IFERROR(INDEX(Recipes[Component], Recipes[[#This Row],[Selected Sorted]]), "")</f>
        <v/>
      </c>
      <c r="Y187" s="1" t="str">
        <f>IFERROR(INDEX(Recipes[Quantity], Recipes[[#This Row],[Selected Sorted]]), "")</f>
        <v/>
      </c>
      <c r="AA187" t="s">
        <v>69</v>
      </c>
      <c r="AB187" t="s">
        <v>2</v>
      </c>
      <c r="AC187">
        <v>10</v>
      </c>
      <c r="AD187" t="str">
        <f>IFERROR(IF(INDEX(Items[Selected Count], MATCH(Recipes2[[#This Row],[Name]], Items[Name], 0)) &gt; 0, ROW() - ROW(Recipes2[#Headers]), ""), "")</f>
        <v/>
      </c>
      <c r="AE187" t="str">
        <f>IFERROR(SMALL(Recipes2[Selected], ROW() - ROW(Recipes2[#Headers])), "")</f>
        <v/>
      </c>
      <c r="AF187" t="str">
        <f>IFERROR(INDEX(Recipes2[Name], Recipes2[[#This Row],[Selected Sorted]]), "")</f>
        <v/>
      </c>
      <c r="AG187" t="str">
        <f>IFERROR(INDEX(Recipes2[Component], Recipes2[[#This Row],[Selected Sorted]]), "")</f>
        <v/>
      </c>
      <c r="AH187" s="1" t="str">
        <f>IFERROR(INDEX(Recipes2[Quantity], Recipes2[[#This Row],[Selected Sorted]]), "")</f>
        <v/>
      </c>
    </row>
    <row r="188" spans="18:34" x14ac:dyDescent="0.25">
      <c r="R188" t="s">
        <v>125</v>
      </c>
      <c r="S188" t="s">
        <v>38</v>
      </c>
      <c r="T188">
        <v>10</v>
      </c>
      <c r="U188" s="1" t="str">
        <f>IFERROR(IF(INDEX(Items[Selected Count], MATCH(Recipes[[#This Row],[Name]], Items[Name], 0)) &gt; 0, ROW() - ROW(Recipes[#Headers]), ""), "")</f>
        <v/>
      </c>
      <c r="V188" s="1" t="str">
        <f>IFERROR(SMALL(Recipes[Selected], ROW() - ROW(Recipes[#Headers])), "")</f>
        <v/>
      </c>
      <c r="W188" s="1" t="str">
        <f>IFERROR(INDEX(Recipes[Name], Recipes[[#This Row],[Selected Sorted]]), "")</f>
        <v/>
      </c>
      <c r="X188" s="1" t="str">
        <f>IFERROR(INDEX(Recipes[Component], Recipes[[#This Row],[Selected Sorted]]), "")</f>
        <v/>
      </c>
      <c r="Y188" s="1" t="str">
        <f>IFERROR(INDEX(Recipes[Quantity], Recipes[[#This Row],[Selected Sorted]]), "")</f>
        <v/>
      </c>
      <c r="AA188" t="s">
        <v>157</v>
      </c>
      <c r="AB188" t="s">
        <v>2</v>
      </c>
      <c r="AC188">
        <v>5</v>
      </c>
      <c r="AD188" s="1" t="str">
        <f>IFERROR(IF(INDEX(Items[Selected Count], MATCH(Recipes2[[#This Row],[Name]], Items[Name], 0)) &gt; 0, ROW() - ROW(Recipes2[#Headers]), ""), "")</f>
        <v/>
      </c>
      <c r="AE188" s="1" t="str">
        <f>IFERROR(SMALL(Recipes2[Selected], ROW() - ROW(Recipes2[#Headers])), "")</f>
        <v/>
      </c>
      <c r="AF188" s="1" t="str">
        <f>IFERROR(INDEX(Recipes2[Name], Recipes2[[#This Row],[Selected Sorted]]), "")</f>
        <v/>
      </c>
      <c r="AG188" s="1" t="str">
        <f>IFERROR(INDEX(Recipes2[Component], Recipes2[[#This Row],[Selected Sorted]]), "")</f>
        <v/>
      </c>
      <c r="AH188" s="1" t="str">
        <f>IFERROR(INDEX(Recipes2[Quantity], Recipes2[[#This Row],[Selected Sorted]]), "")</f>
        <v/>
      </c>
    </row>
    <row r="189" spans="18:34" x14ac:dyDescent="0.25">
      <c r="R189" t="s">
        <v>125</v>
      </c>
      <c r="S189" t="s">
        <v>5</v>
      </c>
      <c r="T189">
        <v>3</v>
      </c>
      <c r="U189" s="1" t="str">
        <f>IFERROR(IF(INDEX(Items[Selected Count], MATCH(Recipes[[#This Row],[Name]], Items[Name], 0)) &gt; 0, ROW() - ROW(Recipes[#Headers]), ""), "")</f>
        <v/>
      </c>
      <c r="V189" s="1" t="str">
        <f>IFERROR(SMALL(Recipes[Selected], ROW() - ROW(Recipes[#Headers])), "")</f>
        <v/>
      </c>
      <c r="W189" s="1" t="str">
        <f>IFERROR(INDEX(Recipes[Name], Recipes[[#This Row],[Selected Sorted]]), "")</f>
        <v/>
      </c>
      <c r="X189" s="1" t="str">
        <f>IFERROR(INDEX(Recipes[Component], Recipes[[#This Row],[Selected Sorted]]), "")</f>
        <v/>
      </c>
      <c r="Y189" s="1" t="str">
        <f>IFERROR(INDEX(Recipes[Quantity], Recipes[[#This Row],[Selected Sorted]]), "")</f>
        <v/>
      </c>
      <c r="AA189" t="s">
        <v>156</v>
      </c>
      <c r="AB189" t="s">
        <v>2</v>
      </c>
      <c r="AC189">
        <v>5</v>
      </c>
      <c r="AD189" s="1" t="str">
        <f>IFERROR(IF(INDEX(Items[Selected Count], MATCH(Recipes2[[#This Row],[Name]], Items[Name], 0)) &gt; 0, ROW() - ROW(Recipes2[#Headers]), ""), "")</f>
        <v/>
      </c>
      <c r="AE189" s="1" t="str">
        <f>IFERROR(SMALL(Recipes2[Selected], ROW() - ROW(Recipes2[#Headers])), "")</f>
        <v/>
      </c>
      <c r="AF189" s="1" t="str">
        <f>IFERROR(INDEX(Recipes2[Name], Recipes2[[#This Row],[Selected Sorted]]), "")</f>
        <v/>
      </c>
      <c r="AG189" s="1" t="str">
        <f>IFERROR(INDEX(Recipes2[Component], Recipes2[[#This Row],[Selected Sorted]]), "")</f>
        <v/>
      </c>
      <c r="AH189" s="1" t="str">
        <f>IFERROR(INDEX(Recipes2[Quantity], Recipes2[[#This Row],[Selected Sorted]]), "")</f>
        <v/>
      </c>
    </row>
    <row r="190" spans="18:34" x14ac:dyDescent="0.25">
      <c r="R190" t="s">
        <v>125</v>
      </c>
      <c r="S190" t="s">
        <v>35</v>
      </c>
      <c r="T190">
        <v>3</v>
      </c>
      <c r="U190" s="1" t="str">
        <f>IFERROR(IF(INDEX(Items[Selected Count], MATCH(Recipes[[#This Row],[Name]], Items[Name], 0)) &gt; 0, ROW() - ROW(Recipes[#Headers]), ""), "")</f>
        <v/>
      </c>
      <c r="V190" s="1" t="str">
        <f>IFERROR(SMALL(Recipes[Selected], ROW() - ROW(Recipes[#Headers])), "")</f>
        <v/>
      </c>
      <c r="W190" s="1" t="str">
        <f>IFERROR(INDEX(Recipes[Name], Recipes[[#This Row],[Selected Sorted]]), "")</f>
        <v/>
      </c>
      <c r="X190" s="1" t="str">
        <f>IFERROR(INDEX(Recipes[Component], Recipes[[#This Row],[Selected Sorted]]), "")</f>
        <v/>
      </c>
      <c r="Y190" s="1" t="str">
        <f>IFERROR(INDEX(Recipes[Quantity], Recipes[[#This Row],[Selected Sorted]]), "")</f>
        <v/>
      </c>
      <c r="AA190" t="s">
        <v>30</v>
      </c>
      <c r="AB190" t="s">
        <v>2</v>
      </c>
      <c r="AC190">
        <v>5</v>
      </c>
      <c r="AD190" t="str">
        <f>IFERROR(IF(INDEX(Items[Selected Count], MATCH(Recipes2[[#This Row],[Name]], Items[Name], 0)) &gt; 0, ROW() - ROW(Recipes2[#Headers]), ""), "")</f>
        <v/>
      </c>
      <c r="AE190" t="str">
        <f>IFERROR(SMALL(Recipes2[Selected], ROW() - ROW(Recipes2[#Headers])), "")</f>
        <v/>
      </c>
      <c r="AF190" t="str">
        <f>IFERROR(INDEX(Recipes2[Name], Recipes2[[#This Row],[Selected Sorted]]), "")</f>
        <v/>
      </c>
      <c r="AG190" t="str">
        <f>IFERROR(INDEX(Recipes2[Component], Recipes2[[#This Row],[Selected Sorted]]), "")</f>
        <v/>
      </c>
      <c r="AH190" s="1" t="str">
        <f>IFERROR(INDEX(Recipes2[Quantity], Recipes2[[#This Row],[Selected Sorted]]), "")</f>
        <v/>
      </c>
    </row>
    <row r="191" spans="18:34" x14ac:dyDescent="0.25">
      <c r="R191" t="s">
        <v>82</v>
      </c>
      <c r="S191" t="s">
        <v>6</v>
      </c>
      <c r="T191">
        <v>2</v>
      </c>
      <c r="U191" s="1" t="str">
        <f>IFERROR(IF(INDEX(Items[Selected Count], MATCH(Recipes[[#This Row],[Name]], Items[Name], 0)) &gt; 0, ROW() - ROW(Recipes[#Headers]), ""), "")</f>
        <v/>
      </c>
      <c r="V191" s="1" t="str">
        <f>IFERROR(SMALL(Recipes[Selected], ROW() - ROW(Recipes[#Headers])), "")</f>
        <v/>
      </c>
      <c r="W191" s="1" t="str">
        <f>IFERROR(INDEX(Recipes[Name], Recipes[[#This Row],[Selected Sorted]]), "")</f>
        <v/>
      </c>
      <c r="X191" s="1" t="str">
        <f>IFERROR(INDEX(Recipes[Component], Recipes[[#This Row],[Selected Sorted]]), "")</f>
        <v/>
      </c>
      <c r="Y191" s="1" t="str">
        <f>IFERROR(INDEX(Recipes[Quantity], Recipes[[#This Row],[Selected Sorted]]), "")</f>
        <v/>
      </c>
      <c r="AA191" t="s">
        <v>22</v>
      </c>
      <c r="AB191" t="s">
        <v>2</v>
      </c>
      <c r="AC191">
        <v>5</v>
      </c>
      <c r="AD191" t="str">
        <f>IFERROR(IF(INDEX(Items[Selected Count], MATCH(Recipes2[[#This Row],[Name]], Items[Name], 0)) &gt; 0, ROW() - ROW(Recipes2[#Headers]), ""), "")</f>
        <v/>
      </c>
      <c r="AE191" t="str">
        <f>IFERROR(SMALL(Recipes2[Selected], ROW() - ROW(Recipes2[#Headers])), "")</f>
        <v/>
      </c>
      <c r="AF191" t="str">
        <f>IFERROR(INDEX(Recipes2[Name], Recipes2[[#This Row],[Selected Sorted]]), "")</f>
        <v/>
      </c>
      <c r="AG191" t="str">
        <f>IFERROR(INDEX(Recipes2[Component], Recipes2[[#This Row],[Selected Sorted]]), "")</f>
        <v/>
      </c>
      <c r="AH191" s="1" t="str">
        <f>IFERROR(INDEX(Recipes2[Quantity], Recipes2[[#This Row],[Selected Sorted]]), "")</f>
        <v/>
      </c>
    </row>
    <row r="192" spans="18:34" x14ac:dyDescent="0.25">
      <c r="R192" t="s">
        <v>82</v>
      </c>
      <c r="S192" t="s">
        <v>5</v>
      </c>
      <c r="T192">
        <v>20</v>
      </c>
      <c r="U192" s="1" t="str">
        <f>IFERROR(IF(INDEX(Items[Selected Count], MATCH(Recipes[[#This Row],[Name]], Items[Name], 0)) &gt; 0, ROW() - ROW(Recipes[#Headers]), ""), "")</f>
        <v/>
      </c>
      <c r="V192" s="1" t="str">
        <f>IFERROR(SMALL(Recipes[Selected], ROW() - ROW(Recipes[#Headers])), "")</f>
        <v/>
      </c>
      <c r="W192" s="1" t="str">
        <f>IFERROR(INDEX(Recipes[Name], Recipes[[#This Row],[Selected Sorted]]), "")</f>
        <v/>
      </c>
      <c r="X192" s="1" t="str">
        <f>IFERROR(INDEX(Recipes[Component], Recipes[[#This Row],[Selected Sorted]]), "")</f>
        <v/>
      </c>
      <c r="Y192" s="1" t="str">
        <f>IFERROR(INDEX(Recipes[Quantity], Recipes[[#This Row],[Selected Sorted]]), "")</f>
        <v/>
      </c>
      <c r="AA192" t="s">
        <v>35</v>
      </c>
      <c r="AB192" t="s">
        <v>2</v>
      </c>
      <c r="AC192">
        <v>5</v>
      </c>
      <c r="AD192" s="1" t="str">
        <f>IFERROR(IF(INDEX(Items[Selected Count], MATCH(Recipes2[[#This Row],[Name]], Items[Name], 0)) &gt; 0, ROW() - ROW(Recipes2[#Headers]), ""), "")</f>
        <v/>
      </c>
      <c r="AE192" s="1" t="str">
        <f>IFERROR(SMALL(Recipes2[Selected], ROW() - ROW(Recipes2[#Headers])), "")</f>
        <v/>
      </c>
      <c r="AF192" s="1" t="str">
        <f>IFERROR(INDEX(Recipes2[Name], Recipes2[[#This Row],[Selected Sorted]]), "")</f>
        <v/>
      </c>
      <c r="AG192" s="1" t="str">
        <f>IFERROR(INDEX(Recipes2[Component], Recipes2[[#This Row],[Selected Sorted]]), "")</f>
        <v/>
      </c>
      <c r="AH192" s="1" t="str">
        <f>IFERROR(INDEX(Recipes2[Quantity], Recipes2[[#This Row],[Selected Sorted]]), "")</f>
        <v/>
      </c>
    </row>
    <row r="193" spans="18:34" x14ac:dyDescent="0.25">
      <c r="R193" t="s">
        <v>82</v>
      </c>
      <c r="S193" t="s">
        <v>62</v>
      </c>
      <c r="T193">
        <v>5</v>
      </c>
      <c r="U193" s="1" t="str">
        <f>IFERROR(IF(INDEX(Items[Selected Count], MATCH(Recipes[[#This Row],[Name]], Items[Name], 0)) &gt; 0, ROW() - ROW(Recipes[#Headers]), ""), "")</f>
        <v/>
      </c>
      <c r="V193" s="1" t="str">
        <f>IFERROR(SMALL(Recipes[Selected], ROW() - ROW(Recipes[#Headers])), "")</f>
        <v/>
      </c>
      <c r="W193" s="1" t="str">
        <f>IFERROR(INDEX(Recipes[Name], Recipes[[#This Row],[Selected Sorted]]), "")</f>
        <v/>
      </c>
      <c r="X193" s="1" t="str">
        <f>IFERROR(INDEX(Recipes[Component], Recipes[[#This Row],[Selected Sorted]]), "")</f>
        <v/>
      </c>
      <c r="Y193" s="1" t="str">
        <f>IFERROR(INDEX(Recipes[Quantity], Recipes[[#This Row],[Selected Sorted]]), "")</f>
        <v/>
      </c>
      <c r="AA193" t="s">
        <v>108</v>
      </c>
      <c r="AB193" t="s">
        <v>2</v>
      </c>
      <c r="AC193">
        <v>20</v>
      </c>
      <c r="AD193" s="1" t="str">
        <f>IFERROR(IF(INDEX(Items[Selected Count], MATCH(Recipes2[[#This Row],[Name]], Items[Name], 0)) &gt; 0, ROW() - ROW(Recipes2[#Headers]), ""), "")</f>
        <v/>
      </c>
      <c r="AE193" s="1" t="str">
        <f>IFERROR(SMALL(Recipes2[Selected], ROW() - ROW(Recipes2[#Headers])), "")</f>
        <v/>
      </c>
      <c r="AF193" s="1" t="str">
        <f>IFERROR(INDEX(Recipes2[Name], Recipes2[[#This Row],[Selected Sorted]]), "")</f>
        <v/>
      </c>
      <c r="AG193" s="1" t="str">
        <f>IFERROR(INDEX(Recipes2[Component], Recipes2[[#This Row],[Selected Sorted]]), "")</f>
        <v/>
      </c>
      <c r="AH193" s="1" t="str">
        <f>IFERROR(INDEX(Recipes2[Quantity], Recipes2[[#This Row],[Selected Sorted]]), "")</f>
        <v/>
      </c>
    </row>
    <row r="194" spans="18:34" x14ac:dyDescent="0.25">
      <c r="R194" t="s">
        <v>78</v>
      </c>
      <c r="S194" t="s">
        <v>7</v>
      </c>
      <c r="T194">
        <v>1</v>
      </c>
      <c r="U194" s="1" t="str">
        <f>IFERROR(IF(INDEX(Items[Selected Count], MATCH(Recipes[[#This Row],[Name]], Items[Name], 0)) &gt; 0, ROW() - ROW(Recipes[#Headers]), ""), "")</f>
        <v/>
      </c>
      <c r="V194" s="1" t="str">
        <f>IFERROR(SMALL(Recipes[Selected], ROW() - ROW(Recipes[#Headers])), "")</f>
        <v/>
      </c>
      <c r="W194" s="1" t="str">
        <f>IFERROR(INDEX(Recipes[Name], Recipes[[#This Row],[Selected Sorted]]), "")</f>
        <v/>
      </c>
      <c r="X194" s="1" t="str">
        <f>IFERROR(INDEX(Recipes[Component], Recipes[[#This Row],[Selected Sorted]]), "")</f>
        <v/>
      </c>
      <c r="Y194" s="1" t="str">
        <f>IFERROR(INDEX(Recipes[Quantity], Recipes[[#This Row],[Selected Sorted]]), "")</f>
        <v/>
      </c>
      <c r="AA194" t="s">
        <v>62</v>
      </c>
      <c r="AB194" t="s">
        <v>2</v>
      </c>
      <c r="AC194">
        <v>1</v>
      </c>
      <c r="AD194" t="str">
        <f>IFERROR(IF(INDEX(Items[Selected Count], MATCH(Recipes2[[#This Row],[Name]], Items[Name], 0)) &gt; 0, ROW() - ROW(Recipes2[#Headers]), ""), "")</f>
        <v/>
      </c>
      <c r="AE194" t="str">
        <f>IFERROR(SMALL(Recipes2[Selected], ROW() - ROW(Recipes2[#Headers])), "")</f>
        <v/>
      </c>
      <c r="AF194" t="str">
        <f>IFERROR(INDEX(Recipes2[Name], Recipes2[[#This Row],[Selected Sorted]]), "")</f>
        <v/>
      </c>
      <c r="AG194" t="str">
        <f>IFERROR(INDEX(Recipes2[Component], Recipes2[[#This Row],[Selected Sorted]]), "")</f>
        <v/>
      </c>
      <c r="AH194" s="1" t="str">
        <f>IFERROR(INDEX(Recipes2[Quantity], Recipes2[[#This Row],[Selected Sorted]]), "")</f>
        <v/>
      </c>
    </row>
    <row r="195" spans="18:34" x14ac:dyDescent="0.25">
      <c r="R195" t="s">
        <v>78</v>
      </c>
      <c r="S195" t="s">
        <v>54</v>
      </c>
      <c r="T195">
        <v>1</v>
      </c>
      <c r="U195" s="1" t="str">
        <f>IFERROR(IF(INDEX(Items[Selected Count], MATCH(Recipes[[#This Row],[Name]], Items[Name], 0)) &gt; 0, ROW() - ROW(Recipes[#Headers]), ""), "")</f>
        <v/>
      </c>
      <c r="V195" s="1" t="str">
        <f>IFERROR(SMALL(Recipes[Selected], ROW() - ROW(Recipes[#Headers])), "")</f>
        <v/>
      </c>
      <c r="W195" s="1" t="str">
        <f>IFERROR(INDEX(Recipes[Name], Recipes[[#This Row],[Selected Sorted]]), "")</f>
        <v/>
      </c>
      <c r="X195" s="1" t="str">
        <f>IFERROR(INDEX(Recipes[Component], Recipes[[#This Row],[Selected Sorted]]), "")</f>
        <v/>
      </c>
      <c r="Y195" s="1" t="str">
        <f>IFERROR(INDEX(Recipes[Quantity], Recipes[[#This Row],[Selected Sorted]]), "")</f>
        <v/>
      </c>
      <c r="AA195" t="s">
        <v>155</v>
      </c>
      <c r="AB195" t="s">
        <v>2</v>
      </c>
      <c r="AC195">
        <v>10</v>
      </c>
      <c r="AD195" s="1" t="str">
        <f>IFERROR(IF(INDEX(Items[Selected Count], MATCH(Recipes2[[#This Row],[Name]], Items[Name], 0)) &gt; 0, ROW() - ROW(Recipes2[#Headers]), ""), "")</f>
        <v/>
      </c>
      <c r="AE195" s="1" t="str">
        <f>IFERROR(SMALL(Recipes2[Selected], ROW() - ROW(Recipes2[#Headers])), "")</f>
        <v/>
      </c>
      <c r="AF195" s="1" t="str">
        <f>IFERROR(INDEX(Recipes2[Name], Recipes2[[#This Row],[Selected Sorted]]), "")</f>
        <v/>
      </c>
      <c r="AG195" s="1" t="str">
        <f>IFERROR(INDEX(Recipes2[Component], Recipes2[[#This Row],[Selected Sorted]]), "")</f>
        <v/>
      </c>
      <c r="AH195" s="1" t="str">
        <f>IFERROR(INDEX(Recipes2[Quantity], Recipes2[[#This Row],[Selected Sorted]]), "")</f>
        <v/>
      </c>
    </row>
    <row r="196" spans="18:34" x14ac:dyDescent="0.25">
      <c r="R196" t="s">
        <v>78</v>
      </c>
      <c r="S196" t="s">
        <v>80</v>
      </c>
      <c r="T196">
        <v>1</v>
      </c>
      <c r="U196" s="1" t="str">
        <f>IFERROR(IF(INDEX(Items[Selected Count], MATCH(Recipes[[#This Row],[Name]], Items[Name], 0)) &gt; 0, ROW() - ROW(Recipes[#Headers]), ""), "")</f>
        <v/>
      </c>
      <c r="V196" s="1" t="str">
        <f>IFERROR(SMALL(Recipes[Selected], ROW() - ROW(Recipes[#Headers])), "")</f>
        <v/>
      </c>
      <c r="W196" s="1" t="str">
        <f>IFERROR(INDEX(Recipes[Name], Recipes[[#This Row],[Selected Sorted]]), "")</f>
        <v/>
      </c>
      <c r="X196" s="1" t="str">
        <f>IFERROR(INDEX(Recipes[Component], Recipes[[#This Row],[Selected Sorted]]), "")</f>
        <v/>
      </c>
      <c r="Y196" s="1" t="str">
        <f>IFERROR(INDEX(Recipes[Quantity], Recipes[[#This Row],[Selected Sorted]]), "")</f>
        <v/>
      </c>
      <c r="AA196" t="s">
        <v>24</v>
      </c>
      <c r="AB196" t="s">
        <v>2</v>
      </c>
      <c r="AC196">
        <v>1</v>
      </c>
      <c r="AD196" t="str">
        <f>IFERROR(IF(INDEX(Items[Selected Count], MATCH(Recipes2[[#This Row],[Name]], Items[Name], 0)) &gt; 0, ROW() - ROW(Recipes2[#Headers]), ""), "")</f>
        <v/>
      </c>
      <c r="AE196" t="str">
        <f>IFERROR(SMALL(Recipes2[Selected], ROW() - ROW(Recipes2[#Headers])), "")</f>
        <v/>
      </c>
      <c r="AF196" t="str">
        <f>IFERROR(INDEX(Recipes2[Name], Recipes2[[#This Row],[Selected Sorted]]), "")</f>
        <v/>
      </c>
      <c r="AG196" t="str">
        <f>IFERROR(INDEX(Recipes2[Component], Recipes2[[#This Row],[Selected Sorted]]), "")</f>
        <v/>
      </c>
      <c r="AH196" s="1" t="str">
        <f>IFERROR(INDEX(Recipes2[Quantity], Recipes2[[#This Row],[Selected Sorted]]), "")</f>
        <v/>
      </c>
    </row>
    <row r="197" spans="18:34" x14ac:dyDescent="0.25">
      <c r="R197" t="s">
        <v>117</v>
      </c>
      <c r="S197" t="s">
        <v>6</v>
      </c>
      <c r="T197">
        <v>5</v>
      </c>
      <c r="U197" s="1" t="str">
        <f>IFERROR(IF(INDEX(Items[Selected Count], MATCH(Recipes[[#This Row],[Name]], Items[Name], 0)) &gt; 0, ROW() - ROW(Recipes[#Headers]), ""), "")</f>
        <v/>
      </c>
      <c r="V197" s="1" t="str">
        <f>IFERROR(SMALL(Recipes[Selected], ROW() - ROW(Recipes[#Headers])), "")</f>
        <v/>
      </c>
      <c r="W197" s="1" t="str">
        <f>IFERROR(INDEX(Recipes[Name], Recipes[[#This Row],[Selected Sorted]]), "")</f>
        <v/>
      </c>
      <c r="X197" s="1" t="str">
        <f>IFERROR(INDEX(Recipes[Component], Recipes[[#This Row],[Selected Sorted]]), "")</f>
        <v/>
      </c>
      <c r="Y197" s="1" t="str">
        <f>IFERROR(INDEX(Recipes[Quantity], Recipes[[#This Row],[Selected Sorted]]), "")</f>
        <v/>
      </c>
      <c r="AA197" t="s">
        <v>27</v>
      </c>
      <c r="AB197" t="s">
        <v>2</v>
      </c>
      <c r="AC197">
        <v>10</v>
      </c>
      <c r="AD197" t="str">
        <f>IFERROR(IF(INDEX(Items[Selected Count], MATCH(Recipes2[[#This Row],[Name]], Items[Name], 0)) &gt; 0, ROW() - ROW(Recipes2[#Headers]), ""), "")</f>
        <v/>
      </c>
      <c r="AE197" t="str">
        <f>IFERROR(SMALL(Recipes2[Selected], ROW() - ROW(Recipes2[#Headers])), "")</f>
        <v/>
      </c>
      <c r="AF197" t="str">
        <f>IFERROR(INDEX(Recipes2[Name], Recipes2[[#This Row],[Selected Sorted]]), "")</f>
        <v/>
      </c>
      <c r="AG197" t="str">
        <f>IFERROR(INDEX(Recipes2[Component], Recipes2[[#This Row],[Selected Sorted]]), "")</f>
        <v/>
      </c>
      <c r="AH197" s="1" t="str">
        <f>IFERROR(INDEX(Recipes2[Quantity], Recipes2[[#This Row],[Selected Sorted]]), "")</f>
        <v/>
      </c>
    </row>
    <row r="198" spans="18:34" x14ac:dyDescent="0.25">
      <c r="R198" t="s">
        <v>117</v>
      </c>
      <c r="S198" t="s">
        <v>5</v>
      </c>
      <c r="T198">
        <v>5</v>
      </c>
      <c r="U198" s="1" t="str">
        <f>IFERROR(IF(INDEX(Items[Selected Count], MATCH(Recipes[[#This Row],[Name]], Items[Name], 0)) &gt; 0, ROW() - ROW(Recipes[#Headers]), ""), "")</f>
        <v/>
      </c>
      <c r="V198" s="1" t="str">
        <f>IFERROR(SMALL(Recipes[Selected], ROW() - ROW(Recipes[#Headers])), "")</f>
        <v/>
      </c>
      <c r="W198" s="1" t="str">
        <f>IFERROR(INDEX(Recipes[Name], Recipes[[#This Row],[Selected Sorted]]), "")</f>
        <v/>
      </c>
      <c r="X198" s="1" t="str">
        <f>IFERROR(INDEX(Recipes[Component], Recipes[[#This Row],[Selected Sorted]]), "")</f>
        <v/>
      </c>
      <c r="Y198" s="1" t="str">
        <f>IFERROR(INDEX(Recipes[Quantity], Recipes[[#This Row],[Selected Sorted]]), "")</f>
        <v/>
      </c>
      <c r="AA198" t="s">
        <v>140</v>
      </c>
      <c r="AB198" t="s">
        <v>138</v>
      </c>
      <c r="AC198">
        <v>2</v>
      </c>
      <c r="AD198" s="1" t="str">
        <f>IFERROR(IF(INDEX(Items[Selected Count], MATCH(Recipes2[[#This Row],[Name]], Items[Name], 0)) &gt; 0, ROW() - ROW(Recipes2[#Headers]), ""), "")</f>
        <v/>
      </c>
      <c r="AE198" s="1" t="str">
        <f>IFERROR(SMALL(Recipes2[Selected], ROW() - ROW(Recipes2[#Headers])), "")</f>
        <v/>
      </c>
      <c r="AF198" s="1" t="str">
        <f>IFERROR(INDEX(Recipes2[Name], Recipes2[[#This Row],[Selected Sorted]]), "")</f>
        <v/>
      </c>
      <c r="AG198" s="1" t="str">
        <f>IFERROR(INDEX(Recipes2[Component], Recipes2[[#This Row],[Selected Sorted]]), "")</f>
        <v/>
      </c>
      <c r="AH198" s="1" t="str">
        <f>IFERROR(INDEX(Recipes2[Quantity], Recipes2[[#This Row],[Selected Sorted]]), "")</f>
        <v/>
      </c>
    </row>
    <row r="199" spans="18:34" x14ac:dyDescent="0.25">
      <c r="R199" t="s">
        <v>118</v>
      </c>
      <c r="S199" t="s">
        <v>6</v>
      </c>
      <c r="T199">
        <v>5</v>
      </c>
      <c r="U199" s="1" t="str">
        <f>IFERROR(IF(INDEX(Items[Selected Count], MATCH(Recipes[[#This Row],[Name]], Items[Name], 0)) &gt; 0, ROW() - ROW(Recipes[#Headers]), ""), "")</f>
        <v/>
      </c>
      <c r="V199" s="1" t="str">
        <f>IFERROR(SMALL(Recipes[Selected], ROW() - ROW(Recipes[#Headers])), "")</f>
        <v/>
      </c>
      <c r="W199" s="1" t="str">
        <f>IFERROR(INDEX(Recipes[Name], Recipes[[#This Row],[Selected Sorted]]), "")</f>
        <v/>
      </c>
      <c r="X199" s="1" t="str">
        <f>IFERROR(INDEX(Recipes[Component], Recipes[[#This Row],[Selected Sorted]]), "")</f>
        <v/>
      </c>
      <c r="Y199" s="1" t="str">
        <f>IFERROR(INDEX(Recipes[Quantity], Recipes[[#This Row],[Selected Sorted]]), "")</f>
        <v/>
      </c>
      <c r="AA199" t="s">
        <v>141</v>
      </c>
      <c r="AB199" t="s">
        <v>138</v>
      </c>
      <c r="AC199">
        <v>2</v>
      </c>
      <c r="AD199" s="1" t="str">
        <f>IFERROR(IF(INDEX(Items[Selected Count], MATCH(Recipes2[[#This Row],[Name]], Items[Name], 0)) &gt; 0, ROW() - ROW(Recipes2[#Headers]), ""), "")</f>
        <v/>
      </c>
      <c r="AE199" s="1" t="str">
        <f>IFERROR(SMALL(Recipes2[Selected], ROW() - ROW(Recipes2[#Headers])), "")</f>
        <v/>
      </c>
      <c r="AF199" s="1" t="str">
        <f>IFERROR(INDEX(Recipes2[Name], Recipes2[[#This Row],[Selected Sorted]]), "")</f>
        <v/>
      </c>
      <c r="AG199" s="1" t="str">
        <f>IFERROR(INDEX(Recipes2[Component], Recipes2[[#This Row],[Selected Sorted]]), "")</f>
        <v/>
      </c>
      <c r="AH199" s="1" t="str">
        <f>IFERROR(INDEX(Recipes2[Quantity], Recipes2[[#This Row],[Selected Sorted]]), "")</f>
        <v/>
      </c>
    </row>
    <row r="200" spans="18:34" x14ac:dyDescent="0.25">
      <c r="R200" t="s">
        <v>118</v>
      </c>
      <c r="S200" t="s">
        <v>82</v>
      </c>
      <c r="T200">
        <v>5</v>
      </c>
      <c r="U200" s="1" t="str">
        <f>IFERROR(IF(INDEX(Items[Selected Count], MATCH(Recipes[[#This Row],[Name]], Items[Name], 0)) &gt; 0, ROW() - ROW(Recipes[#Headers]), ""), "")</f>
        <v/>
      </c>
      <c r="V200" s="1" t="str">
        <f>IFERROR(SMALL(Recipes[Selected], ROW() - ROW(Recipes[#Headers])), "")</f>
        <v/>
      </c>
      <c r="W200" s="1" t="str">
        <f>IFERROR(INDEX(Recipes[Name], Recipes[[#This Row],[Selected Sorted]]), "")</f>
        <v/>
      </c>
      <c r="X200" s="1" t="str">
        <f>IFERROR(INDEX(Recipes[Component], Recipes[[#This Row],[Selected Sorted]]), "")</f>
        <v/>
      </c>
      <c r="Y200" s="1" t="str">
        <f>IFERROR(INDEX(Recipes[Quantity], Recipes[[#This Row],[Selected Sorted]]), "")</f>
        <v/>
      </c>
      <c r="AA200" t="s">
        <v>154</v>
      </c>
      <c r="AB200" t="s">
        <v>138</v>
      </c>
      <c r="AC200">
        <v>1</v>
      </c>
      <c r="AD200" s="1" t="str">
        <f>IFERROR(IF(INDEX(Items[Selected Count], MATCH(Recipes2[[#This Row],[Name]], Items[Name], 0)) &gt; 0, ROW() - ROW(Recipes2[#Headers]), ""), "")</f>
        <v/>
      </c>
      <c r="AE200" s="1" t="str">
        <f>IFERROR(SMALL(Recipes2[Selected], ROW() - ROW(Recipes2[#Headers])), "")</f>
        <v/>
      </c>
      <c r="AF200" s="1" t="str">
        <f>IFERROR(INDEX(Recipes2[Name], Recipes2[[#This Row],[Selected Sorted]]), "")</f>
        <v/>
      </c>
      <c r="AG200" s="1" t="str">
        <f>IFERROR(INDEX(Recipes2[Component], Recipes2[[#This Row],[Selected Sorted]]), "")</f>
        <v/>
      </c>
      <c r="AH200" s="1" t="str">
        <f>IFERROR(INDEX(Recipes2[Quantity], Recipes2[[#This Row],[Selected Sorted]]), "")</f>
        <v/>
      </c>
    </row>
    <row r="201" spans="18:34" x14ac:dyDescent="0.25">
      <c r="R201" t="s">
        <v>118</v>
      </c>
      <c r="S201" t="s">
        <v>117</v>
      </c>
      <c r="T201">
        <v>4</v>
      </c>
      <c r="U201" s="1" t="str">
        <f>IFERROR(IF(INDEX(Items[Selected Count], MATCH(Recipes[[#This Row],[Name]], Items[Name], 0)) &gt; 0, ROW() - ROW(Recipes[#Headers]), ""), "")</f>
        <v/>
      </c>
      <c r="V201" s="1" t="str">
        <f>IFERROR(SMALL(Recipes[Selected], ROW() - ROW(Recipes[#Headers])), "")</f>
        <v/>
      </c>
      <c r="W201" s="1" t="str">
        <f>IFERROR(INDEX(Recipes[Name], Recipes[[#This Row],[Selected Sorted]]), "")</f>
        <v/>
      </c>
      <c r="X201" s="1" t="str">
        <f>IFERROR(INDEX(Recipes[Component], Recipes[[#This Row],[Selected Sorted]]), "")</f>
        <v/>
      </c>
      <c r="Y201" s="1" t="str">
        <f>IFERROR(INDEX(Recipes[Quantity], Recipes[[#This Row],[Selected Sorted]]), "")</f>
        <v/>
      </c>
      <c r="AA201" t="s">
        <v>137</v>
      </c>
      <c r="AB201" t="s">
        <v>129</v>
      </c>
      <c r="AC201">
        <v>1000</v>
      </c>
      <c r="AD201" s="1" t="str">
        <f>IFERROR(IF(INDEX(Items[Selected Count], MATCH(Recipes2[[#This Row],[Name]], Items[Name], 0)) &gt; 0, ROW() - ROW(Recipes2[#Headers]), ""), "")</f>
        <v/>
      </c>
      <c r="AE201" s="1" t="str">
        <f>IFERROR(SMALL(Recipes2[Selected], ROW() - ROW(Recipes2[#Headers])), "")</f>
        <v/>
      </c>
      <c r="AF201" s="1" t="str">
        <f>IFERROR(INDEX(Recipes2[Name], Recipes2[[#This Row],[Selected Sorted]]), "")</f>
        <v/>
      </c>
      <c r="AG201" s="1" t="str">
        <f>IFERROR(INDEX(Recipes2[Component], Recipes2[[#This Row],[Selected Sorted]]), "")</f>
        <v/>
      </c>
      <c r="AH201" s="1" t="str">
        <f>IFERROR(INDEX(Recipes2[Quantity], Recipes2[[#This Row],[Selected Sorted]]), "")</f>
        <v/>
      </c>
    </row>
    <row r="202" spans="18:34" x14ac:dyDescent="0.25">
      <c r="R202" t="s">
        <v>119</v>
      </c>
      <c r="S202" t="s">
        <v>6</v>
      </c>
      <c r="T202">
        <v>5</v>
      </c>
      <c r="U202" s="1" t="str">
        <f>IFERROR(IF(INDEX(Items[Selected Count], MATCH(Recipes[[#This Row],[Name]], Items[Name], 0)) &gt; 0, ROW() - ROW(Recipes[#Headers]), ""), "")</f>
        <v/>
      </c>
      <c r="V202" s="1" t="str">
        <f>IFERROR(SMALL(Recipes[Selected], ROW() - ROW(Recipes[#Headers])), "")</f>
        <v/>
      </c>
      <c r="W202" s="1" t="str">
        <f>IFERROR(INDEX(Recipes[Name], Recipes[[#This Row],[Selected Sorted]]), "")</f>
        <v/>
      </c>
      <c r="X202" s="1" t="str">
        <f>IFERROR(INDEX(Recipes[Component], Recipes[[#This Row],[Selected Sorted]]), "")</f>
        <v/>
      </c>
      <c r="Y202" s="1" t="str">
        <f>IFERROR(INDEX(Recipes[Quantity], Recipes[[#This Row],[Selected Sorted]]), "")</f>
        <v/>
      </c>
      <c r="AA202" t="s">
        <v>203</v>
      </c>
      <c r="AB202" t="s">
        <v>129</v>
      </c>
      <c r="AC202">
        <v>1000</v>
      </c>
      <c r="AD202" s="1" t="str">
        <f>IFERROR(IF(INDEX(Items[Selected Count], MATCH(Recipes2[[#This Row],[Name]], Items[Name], 0)) &gt; 0, ROW() - ROW(Recipes2[#Headers]), ""), "")</f>
        <v/>
      </c>
      <c r="AE202" s="1" t="str">
        <f>IFERROR(SMALL(Recipes2[Selected], ROW() - ROW(Recipes2[#Headers])), "")</f>
        <v/>
      </c>
      <c r="AF202" s="1" t="str">
        <f>IFERROR(INDEX(Recipes2[Name], Recipes2[[#This Row],[Selected Sorted]]), "")</f>
        <v/>
      </c>
      <c r="AG202" s="1" t="str">
        <f>IFERROR(INDEX(Recipes2[Component], Recipes2[[#This Row],[Selected Sorted]]), "")</f>
        <v/>
      </c>
      <c r="AH202" s="1" t="str">
        <f>IFERROR(INDEX(Recipes2[Quantity], Recipes2[[#This Row],[Selected Sorted]]), "")</f>
        <v/>
      </c>
    </row>
    <row r="203" spans="18:34" x14ac:dyDescent="0.25">
      <c r="R203" t="s">
        <v>119</v>
      </c>
      <c r="S203" t="s">
        <v>82</v>
      </c>
      <c r="T203">
        <v>5</v>
      </c>
      <c r="U203" s="1" t="str">
        <f>IFERROR(IF(INDEX(Items[Selected Count], MATCH(Recipes[[#This Row],[Name]], Items[Name], 0)) &gt; 0, ROW() - ROW(Recipes[#Headers]), ""), "")</f>
        <v/>
      </c>
      <c r="V203" s="1" t="str">
        <f>IFERROR(SMALL(Recipes[Selected], ROW() - ROW(Recipes[#Headers])), "")</f>
        <v/>
      </c>
      <c r="W203" s="1" t="str">
        <f>IFERROR(INDEX(Recipes[Name], Recipes[[#This Row],[Selected Sorted]]), "")</f>
        <v/>
      </c>
      <c r="X203" s="1" t="str">
        <f>IFERROR(INDEX(Recipes[Component], Recipes[[#This Row],[Selected Sorted]]), "")</f>
        <v/>
      </c>
      <c r="Y203" s="1" t="str">
        <f>IFERROR(INDEX(Recipes[Quantity], Recipes[[#This Row],[Selected Sorted]]), "")</f>
        <v/>
      </c>
      <c r="AA203" t="s">
        <v>128</v>
      </c>
      <c r="AB203" t="s">
        <v>129</v>
      </c>
      <c r="AC203">
        <v>100</v>
      </c>
      <c r="AD203" s="1" t="str">
        <f>IFERROR(IF(INDEX(Items[Selected Count], MATCH(Recipes2[[#This Row],[Name]], Items[Name], 0)) &gt; 0, ROW() - ROW(Recipes2[#Headers]), ""), "")</f>
        <v/>
      </c>
      <c r="AE203" s="1" t="str">
        <f>IFERROR(SMALL(Recipes2[Selected], ROW() - ROW(Recipes2[#Headers])), "")</f>
        <v/>
      </c>
      <c r="AF203" s="1" t="str">
        <f>IFERROR(INDEX(Recipes2[Name], Recipes2[[#This Row],[Selected Sorted]]), "")</f>
        <v/>
      </c>
      <c r="AG203" s="1" t="str">
        <f>IFERROR(INDEX(Recipes2[Component], Recipes2[[#This Row],[Selected Sorted]]), "")</f>
        <v/>
      </c>
      <c r="AH203" s="1" t="str">
        <f>IFERROR(INDEX(Recipes2[Quantity], Recipes2[[#This Row],[Selected Sorted]]), "")</f>
        <v/>
      </c>
    </row>
    <row r="204" spans="18:34" x14ac:dyDescent="0.25">
      <c r="R204" t="s">
        <v>119</v>
      </c>
      <c r="S204" t="s">
        <v>118</v>
      </c>
      <c r="T204">
        <v>5</v>
      </c>
      <c r="U204" s="1" t="str">
        <f>IFERROR(IF(INDEX(Items[Selected Count], MATCH(Recipes[[#This Row],[Name]], Items[Name], 0)) &gt; 0, ROW() - ROW(Recipes[#Headers]), ""), "")</f>
        <v/>
      </c>
      <c r="V204" s="1" t="str">
        <f>IFERROR(SMALL(Recipes[Selected], ROW() - ROW(Recipes[#Headers])), "")</f>
        <v/>
      </c>
      <c r="W204" s="1" t="str">
        <f>IFERROR(INDEX(Recipes[Name], Recipes[[#This Row],[Selected Sorted]]), "")</f>
        <v/>
      </c>
      <c r="X204" s="1" t="str">
        <f>IFERROR(INDEX(Recipes[Component], Recipes[[#This Row],[Selected Sorted]]), "")</f>
        <v/>
      </c>
      <c r="Y204" s="1" t="str">
        <f>IFERROR(INDEX(Recipes[Quantity], Recipes[[#This Row],[Selected Sorted]]), "")</f>
        <v/>
      </c>
      <c r="AA204" t="s">
        <v>54</v>
      </c>
      <c r="AB204" t="s">
        <v>33</v>
      </c>
      <c r="AC204">
        <v>15</v>
      </c>
      <c r="AD204" t="str">
        <f>IFERROR(IF(INDEX(Items[Selected Count], MATCH(Recipes2[[#This Row],[Name]], Items[Name], 0)) &gt; 0, ROW() - ROW(Recipes2[#Headers]), ""), "")</f>
        <v/>
      </c>
      <c r="AE204" t="str">
        <f>IFERROR(SMALL(Recipes2[Selected], ROW() - ROW(Recipes2[#Headers])), "")</f>
        <v/>
      </c>
      <c r="AF204" t="str">
        <f>IFERROR(INDEX(Recipes2[Name], Recipes2[[#This Row],[Selected Sorted]]), "")</f>
        <v/>
      </c>
      <c r="AG204" t="str">
        <f>IFERROR(INDEX(Recipes2[Component], Recipes2[[#This Row],[Selected Sorted]]), "")</f>
        <v/>
      </c>
      <c r="AH204" s="1" t="str">
        <f>IFERROR(INDEX(Recipes2[Quantity], Recipes2[[#This Row],[Selected Sorted]]), "")</f>
        <v/>
      </c>
    </row>
    <row r="205" spans="18:34" x14ac:dyDescent="0.25">
      <c r="R205" t="s">
        <v>153</v>
      </c>
      <c r="S205" t="s">
        <v>53</v>
      </c>
      <c r="T205">
        <v>1</v>
      </c>
      <c r="U205" s="1" t="str">
        <f>IFERROR(IF(INDEX(Items[Selected Count], MATCH(Recipes[[#This Row],[Name]], Items[Name], 0)) &gt; 0, ROW() - ROW(Recipes[#Headers]), ""), "")</f>
        <v/>
      </c>
      <c r="V205" s="1" t="str">
        <f>IFERROR(SMALL(Recipes[Selected], ROW() - ROW(Recipes[#Headers])), "")</f>
        <v/>
      </c>
      <c r="W205" s="1" t="str">
        <f>IFERROR(INDEX(Recipes[Name], Recipes[[#This Row],[Selected Sorted]]), "")</f>
        <v/>
      </c>
      <c r="X205" s="1" t="str">
        <f>IFERROR(INDEX(Recipes[Component], Recipes[[#This Row],[Selected Sorted]]), "")</f>
        <v/>
      </c>
      <c r="Y205" s="1" t="str">
        <f>IFERROR(INDEX(Recipes[Quantity], Recipes[[#This Row],[Selected Sorted]]), "")</f>
        <v/>
      </c>
      <c r="AA205" t="s">
        <v>32</v>
      </c>
      <c r="AB205" t="s">
        <v>33</v>
      </c>
      <c r="AC205">
        <v>8</v>
      </c>
      <c r="AD205" t="str">
        <f>IFERROR(IF(INDEX(Items[Selected Count], MATCH(Recipes2[[#This Row],[Name]], Items[Name], 0)) &gt; 0, ROW() - ROW(Recipes2[#Headers]), ""), "")</f>
        <v/>
      </c>
      <c r="AE205" t="str">
        <f>IFERROR(SMALL(Recipes2[Selected], ROW() - ROW(Recipes2[#Headers])), "")</f>
        <v/>
      </c>
      <c r="AF205" t="str">
        <f>IFERROR(INDEX(Recipes2[Name], Recipes2[[#This Row],[Selected Sorted]]), "")</f>
        <v/>
      </c>
      <c r="AG205" t="str">
        <f>IFERROR(INDEX(Recipes2[Component], Recipes2[[#This Row],[Selected Sorted]]), "")</f>
        <v/>
      </c>
      <c r="AH205" s="1" t="str">
        <f>IFERROR(INDEX(Recipes2[Quantity], Recipes2[[#This Row],[Selected Sorted]]), "")</f>
        <v/>
      </c>
    </row>
    <row r="206" spans="18:34" x14ac:dyDescent="0.25">
      <c r="R206" t="s">
        <v>153</v>
      </c>
      <c r="S206" t="s">
        <v>23</v>
      </c>
      <c r="T206">
        <v>1</v>
      </c>
      <c r="U206" s="1" t="str">
        <f>IFERROR(IF(INDEX(Items[Selected Count], MATCH(Recipes[[#This Row],[Name]], Items[Name], 0)) &gt; 0, ROW() - ROW(Recipes[#Headers]), ""), "")</f>
        <v/>
      </c>
      <c r="V206" s="1" t="str">
        <f>IFERROR(SMALL(Recipes[Selected], ROW() - ROW(Recipes[#Headers])), "")</f>
        <v/>
      </c>
      <c r="W206" s="1" t="str">
        <f>IFERROR(INDEX(Recipes[Name], Recipes[[#This Row],[Selected Sorted]]), "")</f>
        <v/>
      </c>
      <c r="X206" s="1" t="str">
        <f>IFERROR(INDEX(Recipes[Component], Recipes[[#This Row],[Selected Sorted]]), "")</f>
        <v/>
      </c>
      <c r="Y206" s="1" t="str">
        <f>IFERROR(INDEX(Recipes[Quantity], Recipes[[#This Row],[Selected Sorted]]), "")</f>
        <v/>
      </c>
      <c r="AA206" t="s">
        <v>26</v>
      </c>
      <c r="AB206" t="s">
        <v>33</v>
      </c>
      <c r="AC206">
        <v>2</v>
      </c>
      <c r="AD206" t="str">
        <f>IFERROR(IF(INDEX(Items[Selected Count], MATCH(Recipes2[[#This Row],[Name]], Items[Name], 0)) &gt; 0, ROW() - ROW(Recipes2[#Headers]), ""), "")</f>
        <v/>
      </c>
      <c r="AE206" t="str">
        <f>IFERROR(SMALL(Recipes2[Selected], ROW() - ROW(Recipes2[#Headers])), "")</f>
        <v/>
      </c>
      <c r="AF206" t="str">
        <f>IFERROR(INDEX(Recipes2[Name], Recipes2[[#This Row],[Selected Sorted]]), "")</f>
        <v/>
      </c>
      <c r="AG206" t="str">
        <f>IFERROR(INDEX(Recipes2[Component], Recipes2[[#This Row],[Selected Sorted]]), "")</f>
        <v/>
      </c>
      <c r="AH206" s="1" t="str">
        <f>IFERROR(INDEX(Recipes2[Quantity], Recipes2[[#This Row],[Selected Sorted]]), "")</f>
        <v/>
      </c>
    </row>
    <row r="207" spans="18:34" x14ac:dyDescent="0.25">
      <c r="R207" t="s">
        <v>153</v>
      </c>
      <c r="S207" t="s">
        <v>35</v>
      </c>
      <c r="T207">
        <v>1</v>
      </c>
      <c r="U207" s="1" t="str">
        <f>IFERROR(IF(INDEX(Items[Selected Count], MATCH(Recipes[[#This Row],[Name]], Items[Name], 0)) &gt; 0, ROW() - ROW(Recipes[#Headers]), ""), "")</f>
        <v/>
      </c>
      <c r="V207" s="1" t="str">
        <f>IFERROR(SMALL(Recipes[Selected], ROW() - ROW(Recipes[#Headers])), "")</f>
        <v/>
      </c>
      <c r="W207" s="1" t="str">
        <f>IFERROR(INDEX(Recipes[Name], Recipes[[#This Row],[Selected Sorted]]), "")</f>
        <v/>
      </c>
      <c r="X207" s="1" t="str">
        <f>IFERROR(INDEX(Recipes[Component], Recipes[[#This Row],[Selected Sorted]]), "")</f>
        <v/>
      </c>
      <c r="Y207" s="1" t="str">
        <f>IFERROR(INDEX(Recipes[Quantity], Recipes[[#This Row],[Selected Sorted]]), "")</f>
        <v/>
      </c>
      <c r="AA207" t="s">
        <v>29</v>
      </c>
      <c r="AB207" t="s">
        <v>33</v>
      </c>
      <c r="AC207">
        <v>4</v>
      </c>
      <c r="AD207" t="str">
        <f>IFERROR(IF(INDEX(Items[Selected Count], MATCH(Recipes2[[#This Row],[Name]], Items[Name], 0)) &gt; 0, ROW() - ROW(Recipes2[#Headers]), ""), "")</f>
        <v/>
      </c>
      <c r="AE207" t="str">
        <f>IFERROR(SMALL(Recipes2[Selected], ROW() - ROW(Recipes2[#Headers])), "")</f>
        <v/>
      </c>
      <c r="AF207" t="str">
        <f>IFERROR(INDEX(Recipes2[Name], Recipes2[[#This Row],[Selected Sorted]]), "")</f>
        <v/>
      </c>
      <c r="AG207" t="str">
        <f>IFERROR(INDEX(Recipes2[Component], Recipes2[[#This Row],[Selected Sorted]]), "")</f>
        <v/>
      </c>
      <c r="AH207" s="1" t="str">
        <f>IFERROR(INDEX(Recipes2[Quantity], Recipes2[[#This Row],[Selected Sorted]]), "")</f>
        <v/>
      </c>
    </row>
    <row r="208" spans="18:34" x14ac:dyDescent="0.25">
      <c r="R208" t="s">
        <v>79</v>
      </c>
      <c r="S208" t="s">
        <v>5</v>
      </c>
      <c r="T208">
        <v>5</v>
      </c>
      <c r="U208" s="1" t="str">
        <f>IFERROR(IF(INDEX(Items[Selected Count], MATCH(Recipes[[#This Row],[Name]], Items[Name], 0)) &gt; 0, ROW() - ROW(Recipes[#Headers]), ""), "")</f>
        <v/>
      </c>
      <c r="V208" s="1" t="str">
        <f>IFERROR(SMALL(Recipes[Selected], ROW() - ROW(Recipes[#Headers])), "")</f>
        <v/>
      </c>
      <c r="W208" s="1" t="str">
        <f>IFERROR(INDEX(Recipes[Name], Recipes[[#This Row],[Selected Sorted]]), "")</f>
        <v/>
      </c>
      <c r="X208" s="1" t="str">
        <f>IFERROR(INDEX(Recipes[Component], Recipes[[#This Row],[Selected Sorted]]), "")</f>
        <v/>
      </c>
      <c r="Y208" s="1" t="str">
        <f>IFERROR(INDEX(Recipes[Quantity], Recipes[[#This Row],[Selected Sorted]]), "")</f>
        <v/>
      </c>
      <c r="AA208" t="s">
        <v>206</v>
      </c>
      <c r="AB208" t="s">
        <v>70</v>
      </c>
      <c r="AC208">
        <v>1</v>
      </c>
      <c r="AD208" s="1" t="str">
        <f>IFERROR(IF(INDEX(Items[Selected Count], MATCH(Recipes2[[#This Row],[Name]], Items[Name], 0)) &gt; 0, ROW() - ROW(Recipes2[#Headers]), ""), "")</f>
        <v/>
      </c>
      <c r="AE208" s="1" t="str">
        <f>IFERROR(SMALL(Recipes2[Selected], ROW() - ROW(Recipes2[#Headers])), "")</f>
        <v/>
      </c>
      <c r="AF208" s="1" t="str">
        <f>IFERROR(INDEX(Recipes2[Name], Recipes2[[#This Row],[Selected Sorted]]), "")</f>
        <v/>
      </c>
      <c r="AG208" s="1" t="str">
        <f>IFERROR(INDEX(Recipes2[Component], Recipes2[[#This Row],[Selected Sorted]]), "")</f>
        <v/>
      </c>
      <c r="AH208" s="1" t="str">
        <f>IFERROR(INDEX(Recipes2[Quantity], Recipes2[[#This Row],[Selected Sorted]]), "")</f>
        <v/>
      </c>
    </row>
    <row r="209" spans="18:34" x14ac:dyDescent="0.25">
      <c r="R209" t="s">
        <v>79</v>
      </c>
      <c r="S209" t="s">
        <v>8</v>
      </c>
      <c r="T209">
        <v>10</v>
      </c>
      <c r="U209" s="1" t="str">
        <f>IFERROR(IF(INDEX(Items[Selected Count], MATCH(Recipes[[#This Row],[Name]], Items[Name], 0)) &gt; 0, ROW() - ROW(Recipes[#Headers]), ""), "")</f>
        <v/>
      </c>
      <c r="V209" s="1" t="str">
        <f>IFERROR(SMALL(Recipes[Selected], ROW() - ROW(Recipes[#Headers])), "")</f>
        <v/>
      </c>
      <c r="W209" s="1" t="str">
        <f>IFERROR(INDEX(Recipes[Name], Recipes[[#This Row],[Selected Sorted]]), "")</f>
        <v/>
      </c>
      <c r="X209" s="1" t="str">
        <f>IFERROR(INDEX(Recipes[Component], Recipes[[#This Row],[Selected Sorted]]), "")</f>
        <v/>
      </c>
      <c r="Y209" s="1" t="str">
        <f>IFERROR(INDEX(Recipes[Quantity], Recipes[[#This Row],[Selected Sorted]]), "")</f>
        <v/>
      </c>
      <c r="AA209" t="s">
        <v>3</v>
      </c>
      <c r="AB209" t="s">
        <v>65</v>
      </c>
      <c r="AC209">
        <v>20</v>
      </c>
      <c r="AD209" s="1" t="str">
        <f>IFERROR(IF(INDEX(Items[Selected Count], MATCH(Recipes2[[#This Row],[Name]], Items[Name], 0)) &gt; 0, ROW() - ROW(Recipes2[#Headers]), ""), "")</f>
        <v/>
      </c>
      <c r="AE209" s="1" t="str">
        <f>IFERROR(SMALL(Recipes2[Selected], ROW() - ROW(Recipes2[#Headers])), "")</f>
        <v/>
      </c>
      <c r="AF209" s="1" t="str">
        <f>IFERROR(INDEX(Recipes2[Name], Recipes2[[#This Row],[Selected Sorted]]), "")</f>
        <v/>
      </c>
      <c r="AG209" s="1" t="str">
        <f>IFERROR(INDEX(Recipes2[Component], Recipes2[[#This Row],[Selected Sorted]]), "")</f>
        <v/>
      </c>
      <c r="AH209" s="1" t="str">
        <f>IFERROR(INDEX(Recipes2[Quantity], Recipes2[[#This Row],[Selected Sorted]]), "")</f>
        <v/>
      </c>
    </row>
    <row r="210" spans="18:34" x14ac:dyDescent="0.25">
      <c r="R210" t="s">
        <v>79</v>
      </c>
      <c r="S210" t="s">
        <v>23</v>
      </c>
      <c r="T210">
        <v>10</v>
      </c>
      <c r="U210" s="1" t="str">
        <f>IFERROR(IF(INDEX(Items[Selected Count], MATCH(Recipes[[#This Row],[Name]], Items[Name], 0)) &gt; 0, ROW() - ROW(Recipes[#Headers]), ""), "")</f>
        <v/>
      </c>
      <c r="V210" s="1" t="str">
        <f>IFERROR(SMALL(Recipes[Selected], ROW() - ROW(Recipes[#Headers])), "")</f>
        <v/>
      </c>
      <c r="W210" s="1" t="str">
        <f>IFERROR(INDEX(Recipes[Name], Recipes[[#This Row],[Selected Sorted]]), "")</f>
        <v/>
      </c>
      <c r="X210" s="1" t="str">
        <f>IFERROR(INDEX(Recipes[Component], Recipes[[#This Row],[Selected Sorted]]), "")</f>
        <v/>
      </c>
      <c r="Y210" s="1" t="str">
        <f>IFERROR(INDEX(Recipes[Quantity], Recipes[[#This Row],[Selected Sorted]]), "")</f>
        <v/>
      </c>
      <c r="AA210" t="s">
        <v>131</v>
      </c>
      <c r="AB210" t="s">
        <v>65</v>
      </c>
      <c r="AC210">
        <v>20</v>
      </c>
      <c r="AD210" s="1" t="str">
        <f>IFERROR(IF(INDEX(Items[Selected Count], MATCH(Recipes2[[#This Row],[Name]], Items[Name], 0)) &gt; 0, ROW() - ROW(Recipes2[#Headers]), ""), "")</f>
        <v/>
      </c>
      <c r="AE210" s="1" t="str">
        <f>IFERROR(SMALL(Recipes2[Selected], ROW() - ROW(Recipes2[#Headers])), "")</f>
        <v/>
      </c>
      <c r="AF210" s="1" t="str">
        <f>IFERROR(INDEX(Recipes2[Name], Recipes2[[#This Row],[Selected Sorted]]), "")</f>
        <v/>
      </c>
      <c r="AG210" s="1" t="str">
        <f>IFERROR(INDEX(Recipes2[Component], Recipes2[[#This Row],[Selected Sorted]]), "")</f>
        <v/>
      </c>
      <c r="AH210" s="1" t="str">
        <f>IFERROR(INDEX(Recipes2[Quantity], Recipes2[[#This Row],[Selected Sorted]]), "")</f>
        <v/>
      </c>
    </row>
    <row r="211" spans="18:34" x14ac:dyDescent="0.25">
      <c r="R211" t="s">
        <v>79</v>
      </c>
      <c r="S211" t="s">
        <v>35</v>
      </c>
      <c r="T211">
        <v>5</v>
      </c>
      <c r="U211" s="1" t="str">
        <f>IFERROR(IF(INDEX(Items[Selected Count], MATCH(Recipes[[#This Row],[Name]], Items[Name], 0)) &gt; 0, ROW() - ROW(Recipes[#Headers]), ""), "")</f>
        <v/>
      </c>
      <c r="V211" s="1" t="str">
        <f>IFERROR(SMALL(Recipes[Selected], ROW() - ROW(Recipes[#Headers])), "")</f>
        <v/>
      </c>
      <c r="W211" s="1" t="str">
        <f>IFERROR(INDEX(Recipes[Name], Recipes[[#This Row],[Selected Sorted]]), "")</f>
        <v/>
      </c>
      <c r="X211" s="1" t="str">
        <f>IFERROR(INDEX(Recipes[Component], Recipes[[#This Row],[Selected Sorted]]), "")</f>
        <v/>
      </c>
      <c r="Y211" s="1" t="str">
        <f>IFERROR(INDEX(Recipes[Quantity], Recipes[[#This Row],[Selected Sorted]]), "")</f>
        <v/>
      </c>
      <c r="AA211" t="s">
        <v>64</v>
      </c>
      <c r="AB211" t="s">
        <v>65</v>
      </c>
      <c r="AC211">
        <v>30</v>
      </c>
      <c r="AD211" t="str">
        <f>IFERROR(IF(INDEX(Items[Selected Count], MATCH(Recipes2[[#This Row],[Name]], Items[Name], 0)) &gt; 0, ROW() - ROW(Recipes2[#Headers]), ""), "")</f>
        <v/>
      </c>
      <c r="AE211" t="str">
        <f>IFERROR(SMALL(Recipes2[Selected], ROW() - ROW(Recipes2[#Headers])), "")</f>
        <v/>
      </c>
      <c r="AF211" t="str">
        <f>IFERROR(INDEX(Recipes2[Name], Recipes2[[#This Row],[Selected Sorted]]), "")</f>
        <v/>
      </c>
      <c r="AG211" t="str">
        <f>IFERROR(INDEX(Recipes2[Component], Recipes2[[#This Row],[Selected Sorted]]), "")</f>
        <v/>
      </c>
      <c r="AH211" s="1" t="str">
        <f>IFERROR(INDEX(Recipes2[Quantity], Recipes2[[#This Row],[Selected Sorted]]), "")</f>
        <v/>
      </c>
    </row>
    <row r="212" spans="18:34" x14ac:dyDescent="0.25">
      <c r="R212" t="s">
        <v>69</v>
      </c>
      <c r="S212" t="s">
        <v>5</v>
      </c>
      <c r="T212">
        <v>5</v>
      </c>
      <c r="U212" t="str">
        <f>IFERROR(IF(INDEX(Items[Selected Count], MATCH(Recipes[[#This Row],[Name]], Items[Name], 0)) &gt; 0, ROW() - ROW(Recipes[#Headers]), ""), "")</f>
        <v/>
      </c>
      <c r="V212" t="str">
        <f>IFERROR(SMALL(Recipes[Selected], ROW() - ROW(Recipes[#Headers])), "")</f>
        <v/>
      </c>
      <c r="W212" t="str">
        <f>IFERROR(INDEX(Recipes[Name], Recipes[[#This Row],[Selected Sorted]]), "")</f>
        <v/>
      </c>
      <c r="X212" t="str">
        <f>IFERROR(INDEX(Recipes[Component], Recipes[[#This Row],[Selected Sorted]]), "")</f>
        <v/>
      </c>
      <c r="Y212" s="1" t="str">
        <f>IFERROR(INDEX(Recipes[Quantity], Recipes[[#This Row],[Selected Sorted]]), "")</f>
        <v/>
      </c>
      <c r="AA212" t="s">
        <v>122</v>
      </c>
      <c r="AB212" t="s">
        <v>34</v>
      </c>
      <c r="AC212">
        <v>1</v>
      </c>
      <c r="AD212" s="1" t="str">
        <f>IFERROR(IF(INDEX(Items[Selected Count], MATCH(Recipes2[[#This Row],[Name]], Items[Name], 0)) &gt; 0, ROW() - ROW(Recipes2[#Headers]), ""), "")</f>
        <v/>
      </c>
      <c r="AE212" s="1" t="str">
        <f>IFERROR(SMALL(Recipes2[Selected], ROW() - ROW(Recipes2[#Headers])), "")</f>
        <v/>
      </c>
      <c r="AF212" s="1" t="str">
        <f>IFERROR(INDEX(Recipes2[Name], Recipes2[[#This Row],[Selected Sorted]]), "")</f>
        <v/>
      </c>
      <c r="AG212" s="1" t="str">
        <f>IFERROR(INDEX(Recipes2[Component], Recipes2[[#This Row],[Selected Sorted]]), "")</f>
        <v/>
      </c>
      <c r="AH212" s="1" t="str">
        <f>IFERROR(INDEX(Recipes2[Quantity], Recipes2[[#This Row],[Selected Sorted]]), "")</f>
        <v/>
      </c>
    </row>
    <row r="213" spans="18:34" x14ac:dyDescent="0.25">
      <c r="R213" t="s">
        <v>69</v>
      </c>
      <c r="S213" t="s">
        <v>8</v>
      </c>
      <c r="T213">
        <v>5</v>
      </c>
      <c r="U213" t="str">
        <f>IFERROR(IF(INDEX(Items[Selected Count], MATCH(Recipes[[#This Row],[Name]], Items[Name], 0)) &gt; 0, ROW() - ROW(Recipes[#Headers]), ""), "")</f>
        <v/>
      </c>
      <c r="V213" t="str">
        <f>IFERROR(SMALL(Recipes[Selected], ROW() - ROW(Recipes[#Headers])), "")</f>
        <v/>
      </c>
      <c r="W213" t="str">
        <f>IFERROR(INDEX(Recipes[Name], Recipes[[#This Row],[Selected Sorted]]), "")</f>
        <v/>
      </c>
      <c r="X213" t="str">
        <f>IFERROR(INDEX(Recipes[Component], Recipes[[#This Row],[Selected Sorted]]), "")</f>
        <v/>
      </c>
      <c r="Y213" s="1" t="str">
        <f>IFERROR(INDEX(Recipes[Quantity], Recipes[[#This Row],[Selected Sorted]]), "")</f>
        <v/>
      </c>
      <c r="AA213" t="s">
        <v>70</v>
      </c>
      <c r="AB213" t="s">
        <v>34</v>
      </c>
      <c r="AC213">
        <v>1</v>
      </c>
      <c r="AD213" t="str">
        <f>IFERROR(IF(INDEX(Items[Selected Count], MATCH(Recipes2[[#This Row],[Name]], Items[Name], 0)) &gt; 0, ROW() - ROW(Recipes2[#Headers]), ""), "")</f>
        <v/>
      </c>
      <c r="AE213" t="str">
        <f>IFERROR(SMALL(Recipes2[Selected], ROW() - ROW(Recipes2[#Headers])), "")</f>
        <v/>
      </c>
      <c r="AF213" t="str">
        <f>IFERROR(INDEX(Recipes2[Name], Recipes2[[#This Row],[Selected Sorted]]), "")</f>
        <v/>
      </c>
      <c r="AG213" t="str">
        <f>IFERROR(INDEX(Recipes2[Component], Recipes2[[#This Row],[Selected Sorted]]), "")</f>
        <v/>
      </c>
      <c r="AH213" s="1" t="str">
        <f>IFERROR(INDEX(Recipes2[Quantity], Recipes2[[#This Row],[Selected Sorted]]), "")</f>
        <v/>
      </c>
    </row>
    <row r="214" spans="18:34" x14ac:dyDescent="0.25">
      <c r="R214" t="s">
        <v>69</v>
      </c>
      <c r="S214" t="s">
        <v>2</v>
      </c>
      <c r="T214">
        <v>10</v>
      </c>
      <c r="U214" t="str">
        <f>IFERROR(IF(INDEX(Items[Selected Count], MATCH(Recipes[[#This Row],[Name]], Items[Name], 0)) &gt; 0, ROW() - ROW(Recipes[#Headers]), ""), "")</f>
        <v/>
      </c>
      <c r="V214" t="str">
        <f>IFERROR(SMALL(Recipes[Selected], ROW() - ROW(Recipes[#Headers])), "")</f>
        <v/>
      </c>
      <c r="W214" t="str">
        <f>IFERROR(INDEX(Recipes[Name], Recipes[[#This Row],[Selected Sorted]]), "")</f>
        <v/>
      </c>
      <c r="X214" t="str">
        <f>IFERROR(INDEX(Recipes[Component], Recipes[[#This Row],[Selected Sorted]]), "")</f>
        <v/>
      </c>
      <c r="Y214" s="1" t="str">
        <f>IFERROR(INDEX(Recipes[Quantity], Recipes[[#This Row],[Selected Sorted]]), "")</f>
        <v/>
      </c>
      <c r="AA214" t="s">
        <v>143</v>
      </c>
      <c r="AB214" t="s">
        <v>23</v>
      </c>
      <c r="AC214">
        <v>4</v>
      </c>
      <c r="AD214" s="1" t="str">
        <f>IFERROR(IF(INDEX(Items[Selected Count], MATCH(Recipes2[[#This Row],[Name]], Items[Name], 0)) &gt; 0, ROW() - ROW(Recipes2[#Headers]), ""), "")</f>
        <v/>
      </c>
      <c r="AE214" s="1" t="str">
        <f>IFERROR(SMALL(Recipes2[Selected], ROW() - ROW(Recipes2[#Headers])), "")</f>
        <v/>
      </c>
      <c r="AF214" s="1" t="str">
        <f>IFERROR(INDEX(Recipes2[Name], Recipes2[[#This Row],[Selected Sorted]]), "")</f>
        <v/>
      </c>
      <c r="AG214" s="1" t="str">
        <f>IFERROR(INDEX(Recipes2[Component], Recipes2[[#This Row],[Selected Sorted]]), "")</f>
        <v/>
      </c>
      <c r="AH214" s="1" t="str">
        <f>IFERROR(INDEX(Recipes2[Quantity], Recipes2[[#This Row],[Selected Sorted]]), "")</f>
        <v/>
      </c>
    </row>
    <row r="215" spans="18:34" x14ac:dyDescent="0.25">
      <c r="R215" t="s">
        <v>157</v>
      </c>
      <c r="S215" t="s">
        <v>5</v>
      </c>
      <c r="T215">
        <v>1</v>
      </c>
      <c r="U215" s="1" t="str">
        <f>IFERROR(IF(INDEX(Items[Selected Count], MATCH(Recipes[[#This Row],[Name]], Items[Name], 0)) &gt; 0, ROW() - ROW(Recipes[#Headers]), ""), "")</f>
        <v/>
      </c>
      <c r="V215" s="1" t="str">
        <f>IFERROR(SMALL(Recipes[Selected], ROW() - ROW(Recipes[#Headers])), "")</f>
        <v/>
      </c>
      <c r="W215" s="1" t="str">
        <f>IFERROR(INDEX(Recipes[Name], Recipes[[#This Row],[Selected Sorted]]), "")</f>
        <v/>
      </c>
      <c r="X215" s="1" t="str">
        <f>IFERROR(INDEX(Recipes[Component], Recipes[[#This Row],[Selected Sorted]]), "")</f>
        <v/>
      </c>
      <c r="Y215" s="1" t="str">
        <f>IFERROR(INDEX(Recipes[Quantity], Recipes[[#This Row],[Selected Sorted]]), "")</f>
        <v/>
      </c>
      <c r="AA215" t="s">
        <v>60</v>
      </c>
      <c r="AB215" t="s">
        <v>23</v>
      </c>
      <c r="AC215">
        <v>5</v>
      </c>
      <c r="AD215" s="1" t="str">
        <f>IFERROR(IF(INDEX(Items[Selected Count], MATCH(Recipes2[[#This Row],[Name]], Items[Name], 0)) &gt; 0, ROW() - ROW(Recipes2[#Headers]), ""), "")</f>
        <v/>
      </c>
      <c r="AE215" s="1" t="str">
        <f>IFERROR(SMALL(Recipes2[Selected], ROW() - ROW(Recipes2[#Headers])), "")</f>
        <v/>
      </c>
      <c r="AF215" s="1" t="str">
        <f>IFERROR(INDEX(Recipes2[Name], Recipes2[[#This Row],[Selected Sorted]]), "")</f>
        <v/>
      </c>
      <c r="AG215" s="1" t="str">
        <f>IFERROR(INDEX(Recipes2[Component], Recipes2[[#This Row],[Selected Sorted]]), "")</f>
        <v/>
      </c>
      <c r="AH215" s="1" t="str">
        <f>IFERROR(INDEX(Recipes2[Quantity], Recipes2[[#This Row],[Selected Sorted]]), "")</f>
        <v/>
      </c>
    </row>
    <row r="216" spans="18:34" x14ac:dyDescent="0.25">
      <c r="R216" t="s">
        <v>157</v>
      </c>
      <c r="S216" t="s">
        <v>2</v>
      </c>
      <c r="T216">
        <v>5</v>
      </c>
      <c r="U216" s="1" t="str">
        <f>IFERROR(IF(INDEX(Items[Selected Count], MATCH(Recipes[[#This Row],[Name]], Items[Name], 0)) &gt; 0, ROW() - ROW(Recipes[#Headers]), ""), "")</f>
        <v/>
      </c>
      <c r="V216" s="1" t="str">
        <f>IFERROR(SMALL(Recipes[Selected], ROW() - ROW(Recipes[#Headers])), "")</f>
        <v/>
      </c>
      <c r="W216" s="1" t="str">
        <f>IFERROR(INDEX(Recipes[Name], Recipes[[#This Row],[Selected Sorted]]), "")</f>
        <v/>
      </c>
      <c r="X216" s="1" t="str">
        <f>IFERROR(INDEX(Recipes[Component], Recipes[[#This Row],[Selected Sorted]]), "")</f>
        <v/>
      </c>
      <c r="Y216" s="1" t="str">
        <f>IFERROR(INDEX(Recipes[Quantity], Recipes[[#This Row],[Selected Sorted]]), "")</f>
        <v/>
      </c>
      <c r="AA216" t="s">
        <v>53</v>
      </c>
      <c r="AB216" t="s">
        <v>23</v>
      </c>
      <c r="AC216">
        <v>2</v>
      </c>
      <c r="AD216" t="str">
        <f>IFERROR(IF(INDEX(Items[Selected Count], MATCH(Recipes2[[#This Row],[Name]], Items[Name], 0)) &gt; 0, ROW() - ROW(Recipes2[#Headers]), ""), "")</f>
        <v/>
      </c>
      <c r="AE216" t="str">
        <f>IFERROR(SMALL(Recipes2[Selected], ROW() - ROW(Recipes2[#Headers])), "")</f>
        <v/>
      </c>
      <c r="AF216" t="str">
        <f>IFERROR(INDEX(Recipes2[Name], Recipes2[[#This Row],[Selected Sorted]]), "")</f>
        <v/>
      </c>
      <c r="AG216" t="str">
        <f>IFERROR(INDEX(Recipes2[Component], Recipes2[[#This Row],[Selected Sorted]]), "")</f>
        <v/>
      </c>
      <c r="AH216" s="1" t="str">
        <f>IFERROR(INDEX(Recipes2[Quantity], Recipes2[[#This Row],[Selected Sorted]]), "")</f>
        <v/>
      </c>
    </row>
    <row r="217" spans="18:34" x14ac:dyDescent="0.25">
      <c r="R217" t="s">
        <v>156</v>
      </c>
      <c r="S217" t="s">
        <v>5</v>
      </c>
      <c r="T217">
        <v>1</v>
      </c>
      <c r="U217" s="1" t="str">
        <f>IFERROR(IF(INDEX(Items[Selected Count], MATCH(Recipes[[#This Row],[Name]], Items[Name], 0)) &gt; 0, ROW() - ROW(Recipes[#Headers]), ""), "")</f>
        <v/>
      </c>
      <c r="V217" s="1" t="str">
        <f>IFERROR(SMALL(Recipes[Selected], ROW() - ROW(Recipes[#Headers])), "")</f>
        <v/>
      </c>
      <c r="W217" s="1" t="str">
        <f>IFERROR(INDEX(Recipes[Name], Recipes[[#This Row],[Selected Sorted]]), "")</f>
        <v/>
      </c>
      <c r="X217" s="1" t="str">
        <f>IFERROR(INDEX(Recipes[Component], Recipes[[#This Row],[Selected Sorted]]), "")</f>
        <v/>
      </c>
      <c r="Y217" s="1" t="str">
        <f>IFERROR(INDEX(Recipes[Quantity], Recipes[[#This Row],[Selected Sorted]]), "")</f>
        <v/>
      </c>
      <c r="AA217" t="s">
        <v>160</v>
      </c>
      <c r="AB217" t="s">
        <v>23</v>
      </c>
      <c r="AC217">
        <v>8</v>
      </c>
      <c r="AD217" s="1" t="str">
        <f>IFERROR(IF(INDEX(Items[Selected Count], MATCH(Recipes2[[#This Row],[Name]], Items[Name], 0)) &gt; 0, ROW() - ROW(Recipes2[#Headers]), ""), "")</f>
        <v/>
      </c>
      <c r="AE217" s="1" t="str">
        <f>IFERROR(SMALL(Recipes2[Selected], ROW() - ROW(Recipes2[#Headers])), "")</f>
        <v/>
      </c>
      <c r="AF217" s="1" t="str">
        <f>IFERROR(INDEX(Recipes2[Name], Recipes2[[#This Row],[Selected Sorted]]), "")</f>
        <v/>
      </c>
      <c r="AG217" s="1" t="str">
        <f>IFERROR(INDEX(Recipes2[Component], Recipes2[[#This Row],[Selected Sorted]]), "")</f>
        <v/>
      </c>
      <c r="AH217" s="1" t="str">
        <f>IFERROR(INDEX(Recipes2[Quantity], Recipes2[[#This Row],[Selected Sorted]]), "")</f>
        <v/>
      </c>
    </row>
    <row r="218" spans="18:34" x14ac:dyDescent="0.25">
      <c r="R218" t="s">
        <v>156</v>
      </c>
      <c r="S218" t="s">
        <v>2</v>
      </c>
      <c r="T218">
        <v>5</v>
      </c>
      <c r="U218" s="1" t="str">
        <f>IFERROR(IF(INDEX(Items[Selected Count], MATCH(Recipes[[#This Row],[Name]], Items[Name], 0)) &gt; 0, ROW() - ROW(Recipes[#Headers]), ""), "")</f>
        <v/>
      </c>
      <c r="V218" s="1" t="str">
        <f>IFERROR(SMALL(Recipes[Selected], ROW() - ROW(Recipes[#Headers])), "")</f>
        <v/>
      </c>
      <c r="W218" s="1" t="str">
        <f>IFERROR(INDEX(Recipes[Name], Recipes[[#This Row],[Selected Sorted]]), "")</f>
        <v/>
      </c>
      <c r="X218" s="1" t="str">
        <f>IFERROR(INDEX(Recipes[Component], Recipes[[#This Row],[Selected Sorted]]), "")</f>
        <v/>
      </c>
      <c r="Y218" s="1" t="str">
        <f>IFERROR(INDEX(Recipes[Quantity], Recipes[[#This Row],[Selected Sorted]]), "")</f>
        <v/>
      </c>
      <c r="AA218" t="s">
        <v>147</v>
      </c>
      <c r="AB218" t="s">
        <v>23</v>
      </c>
      <c r="AC218">
        <v>10</v>
      </c>
      <c r="AD218" s="1" t="str">
        <f>IFERROR(IF(INDEX(Items[Selected Count], MATCH(Recipes2[[#This Row],[Name]], Items[Name], 0)) &gt; 0, ROW() - ROW(Recipes2[#Headers]), ""), "")</f>
        <v/>
      </c>
      <c r="AE218" s="1" t="str">
        <f>IFERROR(SMALL(Recipes2[Selected], ROW() - ROW(Recipes2[#Headers])), "")</f>
        <v/>
      </c>
      <c r="AF218" s="1" t="str">
        <f>IFERROR(INDEX(Recipes2[Name], Recipes2[[#This Row],[Selected Sorted]]), "")</f>
        <v/>
      </c>
      <c r="AG218" s="1" t="str">
        <f>IFERROR(INDEX(Recipes2[Component], Recipes2[[#This Row],[Selected Sorted]]), "")</f>
        <v/>
      </c>
      <c r="AH218" s="1" t="str">
        <f>IFERROR(INDEX(Recipes2[Quantity], Recipes2[[#This Row],[Selected Sorted]]), "")</f>
        <v/>
      </c>
    </row>
    <row r="219" spans="18:34" x14ac:dyDescent="0.25">
      <c r="R219" t="s">
        <v>142</v>
      </c>
      <c r="S219" t="s">
        <v>5</v>
      </c>
      <c r="T219">
        <v>2</v>
      </c>
      <c r="U219" s="1" t="str">
        <f>IFERROR(IF(INDEX(Items[Selected Count], MATCH(Recipes[[#This Row],[Name]], Items[Name], 0)) &gt; 0, ROW() - ROW(Recipes[#Headers]), ""), "")</f>
        <v/>
      </c>
      <c r="V219" s="1" t="str">
        <f>IFERROR(SMALL(Recipes[Selected], ROW() - ROW(Recipes[#Headers])), "")</f>
        <v/>
      </c>
      <c r="W219" s="1" t="str">
        <f>IFERROR(INDEX(Recipes[Name], Recipes[[#This Row],[Selected Sorted]]), "")</f>
        <v/>
      </c>
      <c r="X219" s="1" t="str">
        <f>IFERROR(INDEX(Recipes[Component], Recipes[[#This Row],[Selected Sorted]]), "")</f>
        <v/>
      </c>
      <c r="Y219" s="1" t="str">
        <f>IFERROR(INDEX(Recipes[Quantity], Recipes[[#This Row],[Selected Sorted]]), "")</f>
        <v/>
      </c>
      <c r="AA219" t="s">
        <v>102</v>
      </c>
      <c r="AB219" t="s">
        <v>23</v>
      </c>
      <c r="AC219">
        <v>1</v>
      </c>
      <c r="AD219" s="1" t="str">
        <f>IFERROR(IF(INDEX(Items[Selected Count], MATCH(Recipes2[[#This Row],[Name]], Items[Name], 0)) &gt; 0, ROW() - ROW(Recipes2[#Headers]), ""), "")</f>
        <v/>
      </c>
      <c r="AE219" s="1" t="str">
        <f>IFERROR(SMALL(Recipes2[Selected], ROW() - ROW(Recipes2[#Headers])), "")</f>
        <v/>
      </c>
      <c r="AF219" s="1" t="str">
        <f>IFERROR(INDEX(Recipes2[Name], Recipes2[[#This Row],[Selected Sorted]]), "")</f>
        <v/>
      </c>
      <c r="AG219" s="1" t="str">
        <f>IFERROR(INDEX(Recipes2[Component], Recipes2[[#This Row],[Selected Sorted]]), "")</f>
        <v/>
      </c>
      <c r="AH219" s="1" t="str">
        <f>IFERROR(INDEX(Recipes2[Quantity], Recipes2[[#This Row],[Selected Sorted]]), "")</f>
        <v/>
      </c>
    </row>
    <row r="220" spans="18:34" x14ac:dyDescent="0.25">
      <c r="R220" t="s">
        <v>142</v>
      </c>
      <c r="S220" t="s">
        <v>8</v>
      </c>
      <c r="T220">
        <v>2</v>
      </c>
      <c r="U220" s="1" t="str">
        <f>IFERROR(IF(INDEX(Items[Selected Count], MATCH(Recipes[[#This Row],[Name]], Items[Name], 0)) &gt; 0, ROW() - ROW(Recipes[#Headers]), ""), "")</f>
        <v/>
      </c>
      <c r="V220" s="1" t="str">
        <f>IFERROR(SMALL(Recipes[Selected], ROW() - ROW(Recipes[#Headers])), "")</f>
        <v/>
      </c>
      <c r="W220" s="1" t="str">
        <f>IFERROR(INDEX(Recipes[Name], Recipes[[#This Row],[Selected Sorted]]), "")</f>
        <v/>
      </c>
      <c r="X220" s="1" t="str">
        <f>IFERROR(INDEX(Recipes[Component], Recipes[[#This Row],[Selected Sorted]]), "")</f>
        <v/>
      </c>
      <c r="Y220" s="1" t="str">
        <f>IFERROR(INDEX(Recipes[Quantity], Recipes[[#This Row],[Selected Sorted]]), "")</f>
        <v/>
      </c>
      <c r="AA220" t="s">
        <v>66</v>
      </c>
      <c r="AB220" t="s">
        <v>23</v>
      </c>
      <c r="AC220">
        <v>10</v>
      </c>
      <c r="AD220" s="1" t="str">
        <f>IFERROR(IF(INDEX(Items[Selected Count], MATCH(Recipes2[[#This Row],[Name]], Items[Name], 0)) &gt; 0, ROW() - ROW(Recipes2[#Headers]), ""), "")</f>
        <v/>
      </c>
      <c r="AE220" s="1" t="str">
        <f>IFERROR(SMALL(Recipes2[Selected], ROW() - ROW(Recipes2[#Headers])), "")</f>
        <v/>
      </c>
      <c r="AF220" s="1" t="str">
        <f>IFERROR(INDEX(Recipes2[Name], Recipes2[[#This Row],[Selected Sorted]]), "")</f>
        <v/>
      </c>
      <c r="AG220" s="1" t="str">
        <f>IFERROR(INDEX(Recipes2[Component], Recipes2[[#This Row],[Selected Sorted]]), "")</f>
        <v/>
      </c>
      <c r="AH220" s="1" t="str">
        <f>IFERROR(INDEX(Recipes2[Quantity], Recipes2[[#This Row],[Selected Sorted]]), "")</f>
        <v/>
      </c>
    </row>
    <row r="221" spans="18:34" x14ac:dyDescent="0.25">
      <c r="R221" t="s">
        <v>165</v>
      </c>
      <c r="S221" t="s">
        <v>6</v>
      </c>
      <c r="T221">
        <v>1</v>
      </c>
      <c r="U221" s="1" t="str">
        <f>IFERROR(IF(INDEX(Items[Selected Count], MATCH(Recipes[[#This Row],[Name]], Items[Name], 0)) &gt; 0, ROW() - ROW(Recipes[#Headers]), ""), "")</f>
        <v/>
      </c>
      <c r="V221" s="1" t="str">
        <f>IFERROR(SMALL(Recipes[Selected], ROW() - ROW(Recipes[#Headers])), "")</f>
        <v/>
      </c>
      <c r="W221" s="1" t="str">
        <f>IFERROR(INDEX(Recipes[Name], Recipes[[#This Row],[Selected Sorted]]), "")</f>
        <v/>
      </c>
      <c r="X221" s="1" t="str">
        <f>IFERROR(INDEX(Recipes[Component], Recipes[[#This Row],[Selected Sorted]]), "")</f>
        <v/>
      </c>
      <c r="Y221" s="1" t="str">
        <f>IFERROR(INDEX(Recipes[Quantity], Recipes[[#This Row],[Selected Sorted]]), "")</f>
        <v/>
      </c>
      <c r="AA221" t="s">
        <v>152</v>
      </c>
      <c r="AB221" t="s">
        <v>23</v>
      </c>
      <c r="AC221">
        <v>10</v>
      </c>
      <c r="AD221" s="1" t="str">
        <f>IFERROR(IF(INDEX(Items[Selected Count], MATCH(Recipes2[[#This Row],[Name]], Items[Name], 0)) &gt; 0, ROW() - ROW(Recipes2[#Headers]), ""), "")</f>
        <v/>
      </c>
      <c r="AE221" s="1" t="str">
        <f>IFERROR(SMALL(Recipes2[Selected], ROW() - ROW(Recipes2[#Headers])), "")</f>
        <v/>
      </c>
      <c r="AF221" s="1" t="str">
        <f>IFERROR(INDEX(Recipes2[Name], Recipes2[[#This Row],[Selected Sorted]]), "")</f>
        <v/>
      </c>
      <c r="AG221" s="1" t="str">
        <f>IFERROR(INDEX(Recipes2[Component], Recipes2[[#This Row],[Selected Sorted]]), "")</f>
        <v/>
      </c>
      <c r="AH221" s="1" t="str">
        <f>IFERROR(INDEX(Recipes2[Quantity], Recipes2[[#This Row],[Selected Sorted]]), "")</f>
        <v/>
      </c>
    </row>
    <row r="222" spans="18:34" x14ac:dyDescent="0.25">
      <c r="R222" t="s">
        <v>165</v>
      </c>
      <c r="S222" t="s">
        <v>5</v>
      </c>
      <c r="T222">
        <v>3</v>
      </c>
      <c r="U222" s="1" t="str">
        <f>IFERROR(IF(INDEX(Items[Selected Count], MATCH(Recipes[[#This Row],[Name]], Items[Name], 0)) &gt; 0, ROW() - ROW(Recipes[#Headers]), ""), "")</f>
        <v/>
      </c>
      <c r="V222" s="1" t="str">
        <f>IFERROR(SMALL(Recipes[Selected], ROW() - ROW(Recipes[#Headers])), "")</f>
        <v/>
      </c>
      <c r="W222" s="1" t="str">
        <f>IFERROR(INDEX(Recipes[Name], Recipes[[#This Row],[Selected Sorted]]), "")</f>
        <v/>
      </c>
      <c r="X222" s="1" t="str">
        <f>IFERROR(INDEX(Recipes[Component], Recipes[[#This Row],[Selected Sorted]]), "")</f>
        <v/>
      </c>
      <c r="Y222" s="1" t="str">
        <f>IFERROR(INDEX(Recipes[Quantity], Recipes[[#This Row],[Selected Sorted]]), "")</f>
        <v/>
      </c>
      <c r="AA222" t="s">
        <v>153</v>
      </c>
      <c r="AB222" t="s">
        <v>23</v>
      </c>
      <c r="AC222">
        <v>1</v>
      </c>
      <c r="AD222" s="1" t="str">
        <f>IFERROR(IF(INDEX(Items[Selected Count], MATCH(Recipes2[[#This Row],[Name]], Items[Name], 0)) &gt; 0, ROW() - ROW(Recipes2[#Headers]), ""), "")</f>
        <v/>
      </c>
      <c r="AE222" s="1" t="str">
        <f>IFERROR(SMALL(Recipes2[Selected], ROW() - ROW(Recipes2[#Headers])), "")</f>
        <v/>
      </c>
      <c r="AF222" s="1" t="str">
        <f>IFERROR(INDEX(Recipes2[Name], Recipes2[[#This Row],[Selected Sorted]]), "")</f>
        <v/>
      </c>
      <c r="AG222" s="1" t="str">
        <f>IFERROR(INDEX(Recipes2[Component], Recipes2[[#This Row],[Selected Sorted]]), "")</f>
        <v/>
      </c>
      <c r="AH222" s="1" t="str">
        <f>IFERROR(INDEX(Recipes2[Quantity], Recipes2[[#This Row],[Selected Sorted]]), "")</f>
        <v/>
      </c>
    </row>
    <row r="223" spans="18:34" x14ac:dyDescent="0.25">
      <c r="R223" t="s">
        <v>165</v>
      </c>
      <c r="S223" t="s">
        <v>107</v>
      </c>
      <c r="T223">
        <v>1</v>
      </c>
      <c r="U223" s="1" t="str">
        <f>IFERROR(IF(INDEX(Items[Selected Count], MATCH(Recipes[[#This Row],[Name]], Items[Name], 0)) &gt; 0, ROW() - ROW(Recipes[#Headers]), ""), "")</f>
        <v/>
      </c>
      <c r="V223" s="1" t="str">
        <f>IFERROR(SMALL(Recipes[Selected], ROW() - ROW(Recipes[#Headers])), "")</f>
        <v/>
      </c>
      <c r="W223" s="1" t="str">
        <f>IFERROR(INDEX(Recipes[Name], Recipes[[#This Row],[Selected Sorted]]), "")</f>
        <v/>
      </c>
      <c r="X223" s="1" t="str">
        <f>IFERROR(INDEX(Recipes[Component], Recipes[[#This Row],[Selected Sorted]]), "")</f>
        <v/>
      </c>
      <c r="Y223" s="1" t="str">
        <f>IFERROR(INDEX(Recipes[Quantity], Recipes[[#This Row],[Selected Sorted]]), "")</f>
        <v/>
      </c>
      <c r="AA223" t="s">
        <v>79</v>
      </c>
      <c r="AB223" t="s">
        <v>23</v>
      </c>
      <c r="AC223">
        <v>10</v>
      </c>
      <c r="AD223" s="1" t="str">
        <f>IFERROR(IF(INDEX(Items[Selected Count], MATCH(Recipes2[[#This Row],[Name]], Items[Name], 0)) &gt; 0, ROW() - ROW(Recipes2[#Headers]), ""), "")</f>
        <v/>
      </c>
      <c r="AE223" s="1" t="str">
        <f>IFERROR(SMALL(Recipes2[Selected], ROW() - ROW(Recipes2[#Headers])), "")</f>
        <v/>
      </c>
      <c r="AF223" s="1" t="str">
        <f>IFERROR(INDEX(Recipes2[Name], Recipes2[[#This Row],[Selected Sorted]]), "")</f>
        <v/>
      </c>
      <c r="AG223" s="1" t="str">
        <f>IFERROR(INDEX(Recipes2[Component], Recipes2[[#This Row],[Selected Sorted]]), "")</f>
        <v/>
      </c>
      <c r="AH223" s="1" t="str">
        <f>IFERROR(INDEX(Recipes2[Quantity], Recipes2[[#This Row],[Selected Sorted]]), "")</f>
        <v/>
      </c>
    </row>
    <row r="224" spans="18:34" x14ac:dyDescent="0.25">
      <c r="R224" t="s">
        <v>206</v>
      </c>
      <c r="S224" t="s">
        <v>81</v>
      </c>
      <c r="T224">
        <v>1</v>
      </c>
      <c r="U224" s="1" t="str">
        <f>IFERROR(IF(INDEX(Items[Selected Count], MATCH(Recipes[[#This Row],[Name]], Items[Name], 0)) &gt; 0, ROW() - ROW(Recipes[#Headers]), ""), "")</f>
        <v/>
      </c>
      <c r="V224" s="1" t="str">
        <f>IFERROR(SMALL(Recipes[Selected], ROW() - ROW(Recipes[#Headers])), "")</f>
        <v/>
      </c>
      <c r="W224" s="1" t="str">
        <f>IFERROR(INDEX(Recipes[Name], Recipes[[#This Row],[Selected Sorted]]), "")</f>
        <v/>
      </c>
      <c r="X224" s="1" t="str">
        <f>IFERROR(INDEX(Recipes[Component], Recipes[[#This Row],[Selected Sorted]]), "")</f>
        <v/>
      </c>
      <c r="Y224" s="1" t="str">
        <f>IFERROR(INDEX(Recipes[Quantity], Recipes[[#This Row],[Selected Sorted]]), "")</f>
        <v/>
      </c>
      <c r="AA224" t="s">
        <v>22</v>
      </c>
      <c r="AB224" t="s">
        <v>23</v>
      </c>
      <c r="AC224">
        <v>5</v>
      </c>
      <c r="AD224" t="str">
        <f>IFERROR(IF(INDEX(Items[Selected Count], MATCH(Recipes2[[#This Row],[Name]], Items[Name], 0)) &gt; 0, ROW() - ROW(Recipes2[#Headers]), ""), "")</f>
        <v/>
      </c>
      <c r="AE224" t="str">
        <f>IFERROR(SMALL(Recipes2[Selected], ROW() - ROW(Recipes2[#Headers])), "")</f>
        <v/>
      </c>
      <c r="AF224" t="str">
        <f>IFERROR(INDEX(Recipes2[Name], Recipes2[[#This Row],[Selected Sorted]]), "")</f>
        <v/>
      </c>
      <c r="AG224" t="str">
        <f>IFERROR(INDEX(Recipes2[Component], Recipes2[[#This Row],[Selected Sorted]]), "")</f>
        <v/>
      </c>
      <c r="AH224" s="1" t="str">
        <f>IFERROR(INDEX(Recipes2[Quantity], Recipes2[[#This Row],[Selected Sorted]]), "")</f>
        <v/>
      </c>
    </row>
    <row r="225" spans="18:34" x14ac:dyDescent="0.25">
      <c r="R225" t="s">
        <v>206</v>
      </c>
      <c r="S225" t="s">
        <v>70</v>
      </c>
      <c r="T225">
        <v>1</v>
      </c>
      <c r="U225" s="1" t="str">
        <f>IFERROR(IF(INDEX(Items[Selected Count], MATCH(Recipes[[#This Row],[Name]], Items[Name], 0)) &gt; 0, ROW() - ROW(Recipes[#Headers]), ""), "")</f>
        <v/>
      </c>
      <c r="V225" s="1" t="str">
        <f>IFERROR(SMALL(Recipes[Selected], ROW() - ROW(Recipes[#Headers])), "")</f>
        <v/>
      </c>
      <c r="W225" s="1" t="str">
        <f>IFERROR(INDEX(Recipes[Name], Recipes[[#This Row],[Selected Sorted]]), "")</f>
        <v/>
      </c>
      <c r="X225" s="1" t="str">
        <f>IFERROR(INDEX(Recipes[Component], Recipes[[#This Row],[Selected Sorted]]), "")</f>
        <v/>
      </c>
      <c r="Y225" s="1" t="str">
        <f>IFERROR(INDEX(Recipes[Quantity], Recipes[[#This Row],[Selected Sorted]]), "")</f>
        <v/>
      </c>
      <c r="AA225" t="s">
        <v>144</v>
      </c>
      <c r="AB225" t="s">
        <v>23</v>
      </c>
      <c r="AC225">
        <v>20</v>
      </c>
      <c r="AD225" s="1" t="str">
        <f>IFERROR(IF(INDEX(Items[Selected Count], MATCH(Recipes2[[#This Row],[Name]], Items[Name], 0)) &gt; 0, ROW() - ROW(Recipes2[#Headers]), ""), "")</f>
        <v/>
      </c>
      <c r="AE225" s="1" t="str">
        <f>IFERROR(SMALL(Recipes2[Selected], ROW() - ROW(Recipes2[#Headers])), "")</f>
        <v/>
      </c>
      <c r="AF225" s="1" t="str">
        <f>IFERROR(INDEX(Recipes2[Name], Recipes2[[#This Row],[Selected Sorted]]), "")</f>
        <v/>
      </c>
      <c r="AG225" s="1" t="str">
        <f>IFERROR(INDEX(Recipes2[Component], Recipes2[[#This Row],[Selected Sorted]]), "")</f>
        <v/>
      </c>
      <c r="AH225" s="1" t="str">
        <f>IFERROR(INDEX(Recipes2[Quantity], Recipes2[[#This Row],[Selected Sorted]]), "")</f>
        <v/>
      </c>
    </row>
    <row r="226" spans="18:34" x14ac:dyDescent="0.25">
      <c r="R226" t="s">
        <v>206</v>
      </c>
      <c r="S226" t="s">
        <v>78</v>
      </c>
      <c r="T226">
        <v>1</v>
      </c>
      <c r="U226" s="1" t="str">
        <f>IFERROR(IF(INDEX(Items[Selected Count], MATCH(Recipes[[#This Row],[Name]], Items[Name], 0)) &gt; 0, ROW() - ROW(Recipes[#Headers]), ""), "")</f>
        <v/>
      </c>
      <c r="V226" s="1" t="str">
        <f>IFERROR(SMALL(Recipes[Selected], ROW() - ROW(Recipes[#Headers])), "")</f>
        <v/>
      </c>
      <c r="W226" s="1" t="str">
        <f>IFERROR(INDEX(Recipes[Name], Recipes[[#This Row],[Selected Sorted]]), "")</f>
        <v/>
      </c>
      <c r="X226" s="1" t="str">
        <f>IFERROR(INDEX(Recipes[Component], Recipes[[#This Row],[Selected Sorted]]), "")</f>
        <v/>
      </c>
      <c r="Y226" s="1" t="str">
        <f>IFERROR(INDEX(Recipes[Quantity], Recipes[[#This Row],[Selected Sorted]]), "")</f>
        <v/>
      </c>
      <c r="AA226" t="s">
        <v>6</v>
      </c>
      <c r="AB226" t="s">
        <v>3</v>
      </c>
      <c r="AC226">
        <v>2</v>
      </c>
      <c r="AD226" t="str">
        <f>IFERROR(IF(INDEX(Items[Selected Count], MATCH(Recipes2[[#This Row],[Name]], Items[Name], 0)) &gt; 0, ROW() - ROW(Recipes2[#Headers]), ""), "")</f>
        <v/>
      </c>
      <c r="AE226" t="str">
        <f>IFERROR(SMALL(Recipes2[Selected], ROW() - ROW(Recipes2[#Headers])), "")</f>
        <v/>
      </c>
      <c r="AF226" t="str">
        <f>IFERROR(INDEX(Recipes2[Name], Recipes2[[#This Row],[Selected Sorted]]), "")</f>
        <v/>
      </c>
      <c r="AG226" t="str">
        <f>IFERROR(INDEX(Recipes2[Component], Recipes2[[#This Row],[Selected Sorted]]), "")</f>
        <v/>
      </c>
      <c r="AH226" s="1" t="str">
        <f>IFERROR(INDEX(Recipes2[Quantity], Recipes2[[#This Row],[Selected Sorted]]), "")</f>
        <v/>
      </c>
    </row>
    <row r="227" spans="18:34" x14ac:dyDescent="0.25">
      <c r="R227" t="s">
        <v>206</v>
      </c>
      <c r="S227" t="s">
        <v>48</v>
      </c>
      <c r="T227">
        <v>1</v>
      </c>
      <c r="U227" s="1" t="str">
        <f>IFERROR(IF(INDEX(Items[Selected Count], MATCH(Recipes[[#This Row],[Name]], Items[Name], 0)) &gt; 0, ROW() - ROW(Recipes[#Headers]), ""), "")</f>
        <v/>
      </c>
      <c r="V227" s="1" t="str">
        <f>IFERROR(SMALL(Recipes[Selected], ROW() - ROW(Recipes[#Headers])), "")</f>
        <v/>
      </c>
      <c r="W227" s="1" t="str">
        <f>IFERROR(INDEX(Recipes[Name], Recipes[[#This Row],[Selected Sorted]]), "")</f>
        <v/>
      </c>
      <c r="X227" s="1" t="str">
        <f>IFERROR(INDEX(Recipes[Component], Recipes[[#This Row],[Selected Sorted]]), "")</f>
        <v/>
      </c>
      <c r="Y227" s="1" t="str">
        <f>IFERROR(INDEX(Recipes[Quantity], Recipes[[#This Row],[Selected Sorted]]), "")</f>
        <v/>
      </c>
      <c r="AA227" t="s">
        <v>129</v>
      </c>
      <c r="AB227" t="s">
        <v>3</v>
      </c>
      <c r="AC227">
        <v>5</v>
      </c>
      <c r="AD227" s="1" t="str">
        <f>IFERROR(IF(INDEX(Items[Selected Count], MATCH(Recipes2[[#This Row],[Name]], Items[Name], 0)) &gt; 0, ROW() - ROW(Recipes2[#Headers]), ""), "")</f>
        <v/>
      </c>
      <c r="AE227" s="1" t="str">
        <f>IFERROR(SMALL(Recipes2[Selected], ROW() - ROW(Recipes2[#Headers])), "")</f>
        <v/>
      </c>
      <c r="AF227" s="1" t="str">
        <f>IFERROR(INDEX(Recipes2[Name], Recipes2[[#This Row],[Selected Sorted]]), "")</f>
        <v/>
      </c>
      <c r="AG227" s="1" t="str">
        <f>IFERROR(INDEX(Recipes2[Component], Recipes2[[#This Row],[Selected Sorted]]), "")</f>
        <v/>
      </c>
      <c r="AH227" s="1" t="str">
        <f>IFERROR(INDEX(Recipes2[Quantity], Recipes2[[#This Row],[Selected Sorted]]), "")</f>
        <v/>
      </c>
    </row>
    <row r="228" spans="18:34" x14ac:dyDescent="0.25">
      <c r="R228" t="s">
        <v>206</v>
      </c>
      <c r="S228" t="s">
        <v>49</v>
      </c>
      <c r="T228">
        <v>1</v>
      </c>
      <c r="U228" s="1" t="str">
        <f>IFERROR(IF(INDEX(Items[Selected Count], MATCH(Recipes[[#This Row],[Name]], Items[Name], 0)) &gt; 0, ROW() - ROW(Recipes[#Headers]), ""), "")</f>
        <v/>
      </c>
      <c r="V228" s="1" t="str">
        <f>IFERROR(SMALL(Recipes[Selected], ROW() - ROW(Recipes[#Headers])), "")</f>
        <v/>
      </c>
      <c r="W228" s="1" t="str">
        <f>IFERROR(INDEX(Recipes[Name], Recipes[[#This Row],[Selected Sorted]]), "")</f>
        <v/>
      </c>
      <c r="X228" s="1" t="str">
        <f>IFERROR(INDEX(Recipes[Component], Recipes[[#This Row],[Selected Sorted]]), "")</f>
        <v/>
      </c>
      <c r="Y228" s="1" t="str">
        <f>IFERROR(INDEX(Recipes[Quantity], Recipes[[#This Row],[Selected Sorted]]), "")</f>
        <v/>
      </c>
      <c r="AA228" t="s">
        <v>112</v>
      </c>
      <c r="AB228" t="s">
        <v>82</v>
      </c>
      <c r="AC228">
        <v>5</v>
      </c>
      <c r="AD228" s="1" t="str">
        <f>IFERROR(IF(INDEX(Items[Selected Count], MATCH(Recipes2[[#This Row],[Name]], Items[Name], 0)) &gt; 0, ROW() - ROW(Recipes2[#Headers]), ""), "")</f>
        <v/>
      </c>
      <c r="AE228" s="1" t="str">
        <f>IFERROR(SMALL(Recipes2[Selected], ROW() - ROW(Recipes2[#Headers])), "")</f>
        <v/>
      </c>
      <c r="AF228" s="1" t="str">
        <f>IFERROR(INDEX(Recipes2[Name], Recipes2[[#This Row],[Selected Sorted]]), "")</f>
        <v/>
      </c>
      <c r="AG228" s="1" t="str">
        <f>IFERROR(INDEX(Recipes2[Component], Recipes2[[#This Row],[Selected Sorted]]), "")</f>
        <v/>
      </c>
      <c r="AH228" s="1" t="str">
        <f>IFERROR(INDEX(Recipes2[Quantity], Recipes2[[#This Row],[Selected Sorted]]), "")</f>
        <v/>
      </c>
    </row>
    <row r="229" spans="18:34" x14ac:dyDescent="0.25">
      <c r="R229" t="s">
        <v>206</v>
      </c>
      <c r="S229" t="s">
        <v>50</v>
      </c>
      <c r="T229">
        <v>1</v>
      </c>
      <c r="U229" s="1" t="str">
        <f>IFERROR(IF(INDEX(Items[Selected Count], MATCH(Recipes[[#This Row],[Name]], Items[Name], 0)) &gt; 0, ROW() - ROW(Recipes[#Headers]), ""), "")</f>
        <v/>
      </c>
      <c r="V229" s="1" t="str">
        <f>IFERROR(SMALL(Recipes[Selected], ROW() - ROW(Recipes[#Headers])), "")</f>
        <v/>
      </c>
      <c r="W229" s="1" t="str">
        <f>IFERROR(INDEX(Recipes[Name], Recipes[[#This Row],[Selected Sorted]]), "")</f>
        <v/>
      </c>
      <c r="X229" s="1" t="str">
        <f>IFERROR(INDEX(Recipes[Component], Recipes[[#This Row],[Selected Sorted]]), "")</f>
        <v/>
      </c>
      <c r="Y229" s="1" t="str">
        <f>IFERROR(INDEX(Recipes[Quantity], Recipes[[#This Row],[Selected Sorted]]), "")</f>
        <v/>
      </c>
      <c r="AA229" t="s">
        <v>113</v>
      </c>
      <c r="AB229" t="s">
        <v>82</v>
      </c>
      <c r="AC229">
        <v>5</v>
      </c>
      <c r="AD229" s="1" t="str">
        <f>IFERROR(IF(INDEX(Items[Selected Count], MATCH(Recipes2[[#This Row],[Name]], Items[Name], 0)) &gt; 0, ROW() - ROW(Recipes2[#Headers]), ""), "")</f>
        <v/>
      </c>
      <c r="AE229" s="1" t="str">
        <f>IFERROR(SMALL(Recipes2[Selected], ROW() - ROW(Recipes2[#Headers])), "")</f>
        <v/>
      </c>
      <c r="AF229" s="1" t="str">
        <f>IFERROR(INDEX(Recipes2[Name], Recipes2[[#This Row],[Selected Sorted]]), "")</f>
        <v/>
      </c>
      <c r="AG229" s="1" t="str">
        <f>IFERROR(INDEX(Recipes2[Component], Recipes2[[#This Row],[Selected Sorted]]), "")</f>
        <v/>
      </c>
      <c r="AH229" s="1" t="str">
        <f>IFERROR(INDEX(Recipes2[Quantity], Recipes2[[#This Row],[Selected Sorted]]), "")</f>
        <v/>
      </c>
    </row>
    <row r="230" spans="18:34" x14ac:dyDescent="0.25">
      <c r="R230" t="s">
        <v>120</v>
      </c>
      <c r="S230" t="s">
        <v>6</v>
      </c>
      <c r="T230">
        <v>45</v>
      </c>
      <c r="U230" s="1" t="str">
        <f>IFERROR(IF(INDEX(Items[Selected Count], MATCH(Recipes[[#This Row],[Name]], Items[Name], 0)) &gt; 0, ROW() - ROW(Recipes[#Headers]), ""), "")</f>
        <v/>
      </c>
      <c r="V230" s="1" t="str">
        <f>IFERROR(SMALL(Recipes[Selected], ROW() - ROW(Recipes[#Headers])), "")</f>
        <v/>
      </c>
      <c r="W230" s="1" t="str">
        <f>IFERROR(INDEX(Recipes[Name], Recipes[[#This Row],[Selected Sorted]]), "")</f>
        <v/>
      </c>
      <c r="X230" s="1" t="str">
        <f>IFERROR(INDEX(Recipes[Component], Recipes[[#This Row],[Selected Sorted]]), "")</f>
        <v/>
      </c>
      <c r="Y230" s="1" t="str">
        <f>IFERROR(INDEX(Recipes[Quantity], Recipes[[#This Row],[Selected Sorted]]), "")</f>
        <v/>
      </c>
      <c r="AA230" t="s">
        <v>81</v>
      </c>
      <c r="AB230" t="s">
        <v>82</v>
      </c>
      <c r="AC230">
        <v>3</v>
      </c>
      <c r="AD230" s="1" t="str">
        <f>IFERROR(IF(INDEX(Items[Selected Count], MATCH(Recipes2[[#This Row],[Name]], Items[Name], 0)) &gt; 0, ROW() - ROW(Recipes2[#Headers]), ""), "")</f>
        <v/>
      </c>
      <c r="AE230" s="1" t="str">
        <f>IFERROR(SMALL(Recipes2[Selected], ROW() - ROW(Recipes2[#Headers])), "")</f>
        <v/>
      </c>
      <c r="AF230" s="1" t="str">
        <f>IFERROR(INDEX(Recipes2[Name], Recipes2[[#This Row],[Selected Sorted]]), "")</f>
        <v/>
      </c>
      <c r="AG230" s="1" t="str">
        <f>IFERROR(INDEX(Recipes2[Component], Recipes2[[#This Row],[Selected Sorted]]), "")</f>
        <v/>
      </c>
      <c r="AH230" s="1" t="str">
        <f>IFERROR(INDEX(Recipes2[Quantity], Recipes2[[#This Row],[Selected Sorted]]), "")</f>
        <v/>
      </c>
    </row>
    <row r="231" spans="18:34" x14ac:dyDescent="0.25">
      <c r="R231" t="s">
        <v>120</v>
      </c>
      <c r="S231" t="s">
        <v>8</v>
      </c>
      <c r="T231">
        <v>45</v>
      </c>
      <c r="U231" s="1" t="str">
        <f>IFERROR(IF(INDEX(Items[Selected Count], MATCH(Recipes[[#This Row],[Name]], Items[Name], 0)) &gt; 0, ROW() - ROW(Recipes[#Headers]), ""), "")</f>
        <v/>
      </c>
      <c r="V231" s="1" t="str">
        <f>IFERROR(SMALL(Recipes[Selected], ROW() - ROW(Recipes[#Headers])), "")</f>
        <v/>
      </c>
      <c r="W231" s="1" t="str">
        <f>IFERROR(INDEX(Recipes[Name], Recipes[[#This Row],[Selected Sorted]]), "")</f>
        <v/>
      </c>
      <c r="X231" s="1" t="str">
        <f>IFERROR(INDEX(Recipes[Component], Recipes[[#This Row],[Selected Sorted]]), "")</f>
        <v/>
      </c>
      <c r="Y231" s="1" t="str">
        <f>IFERROR(INDEX(Recipes[Quantity], Recipes[[#This Row],[Selected Sorted]]), "")</f>
        <v/>
      </c>
      <c r="AA231" t="s">
        <v>118</v>
      </c>
      <c r="AB231" t="s">
        <v>82</v>
      </c>
      <c r="AC231">
        <v>5</v>
      </c>
      <c r="AD231" s="1" t="str">
        <f>IFERROR(IF(INDEX(Items[Selected Count], MATCH(Recipes2[[#This Row],[Name]], Items[Name], 0)) &gt; 0, ROW() - ROW(Recipes2[#Headers]), ""), "")</f>
        <v/>
      </c>
      <c r="AE231" s="1" t="str">
        <f>IFERROR(SMALL(Recipes2[Selected], ROW() - ROW(Recipes2[#Headers])), "")</f>
        <v/>
      </c>
      <c r="AF231" s="1" t="str">
        <f>IFERROR(INDEX(Recipes2[Name], Recipes2[[#This Row],[Selected Sorted]]), "")</f>
        <v/>
      </c>
      <c r="AG231" s="1" t="str">
        <f>IFERROR(INDEX(Recipes2[Component], Recipes2[[#This Row],[Selected Sorted]]), "")</f>
        <v/>
      </c>
      <c r="AH231" s="1" t="str">
        <f>IFERROR(INDEX(Recipes2[Quantity], Recipes2[[#This Row],[Selected Sorted]]), "")</f>
        <v/>
      </c>
    </row>
    <row r="232" spans="18:34" x14ac:dyDescent="0.25">
      <c r="R232" t="s">
        <v>120</v>
      </c>
      <c r="S232" t="s">
        <v>35</v>
      </c>
      <c r="T232">
        <v>45</v>
      </c>
      <c r="U232" s="1" t="str">
        <f>IFERROR(IF(INDEX(Items[Selected Count], MATCH(Recipes[[#This Row],[Name]], Items[Name], 0)) &gt; 0, ROW() - ROW(Recipes[#Headers]), ""), "")</f>
        <v/>
      </c>
      <c r="V232" s="1" t="str">
        <f>IFERROR(SMALL(Recipes[Selected], ROW() - ROW(Recipes[#Headers])), "")</f>
        <v/>
      </c>
      <c r="W232" s="1" t="str">
        <f>IFERROR(INDEX(Recipes[Name], Recipes[[#This Row],[Selected Sorted]]), "")</f>
        <v/>
      </c>
      <c r="X232" s="1" t="str">
        <f>IFERROR(INDEX(Recipes[Component], Recipes[[#This Row],[Selected Sorted]]), "")</f>
        <v/>
      </c>
      <c r="Y232" s="1" t="str">
        <f>IFERROR(INDEX(Recipes[Quantity], Recipes[[#This Row],[Selected Sorted]]), "")</f>
        <v/>
      </c>
      <c r="AA232" t="s">
        <v>119</v>
      </c>
      <c r="AB232" t="s">
        <v>82</v>
      </c>
      <c r="AC232">
        <v>5</v>
      </c>
      <c r="AD232" s="1" t="str">
        <f>IFERROR(IF(INDEX(Items[Selected Count], MATCH(Recipes2[[#This Row],[Name]], Items[Name], 0)) &gt; 0, ROW() - ROW(Recipes2[#Headers]), ""), "")</f>
        <v/>
      </c>
      <c r="AE232" s="1" t="str">
        <f>IFERROR(SMALL(Recipes2[Selected], ROW() - ROW(Recipes2[#Headers])), "")</f>
        <v/>
      </c>
      <c r="AF232" s="1" t="str">
        <f>IFERROR(INDEX(Recipes2[Name], Recipes2[[#This Row],[Selected Sorted]]), "")</f>
        <v/>
      </c>
      <c r="AG232" s="1" t="str">
        <f>IFERROR(INDEX(Recipes2[Component], Recipes2[[#This Row],[Selected Sorted]]), "")</f>
        <v/>
      </c>
      <c r="AH232" s="1" t="str">
        <f>IFERROR(INDEX(Recipes2[Quantity], Recipes2[[#This Row],[Selected Sorted]]), "")</f>
        <v/>
      </c>
    </row>
    <row r="233" spans="18:34" x14ac:dyDescent="0.25">
      <c r="R233" t="s">
        <v>127</v>
      </c>
      <c r="S233" t="s">
        <v>82</v>
      </c>
      <c r="T233">
        <v>1</v>
      </c>
      <c r="U233" s="1" t="str">
        <f>IFERROR(IF(INDEX(Items[Selected Count], MATCH(Recipes[[#This Row],[Name]], Items[Name], 0)) &gt; 0, ROW() - ROW(Recipes[#Headers]), ""), "")</f>
        <v/>
      </c>
      <c r="V233" s="1" t="str">
        <f>IFERROR(SMALL(Recipes[Selected], ROW() - ROW(Recipes[#Headers])), "")</f>
        <v/>
      </c>
      <c r="W233" s="1" t="str">
        <f>IFERROR(INDEX(Recipes[Name], Recipes[[#This Row],[Selected Sorted]]), "")</f>
        <v/>
      </c>
      <c r="X233" s="1" t="str">
        <f>IFERROR(INDEX(Recipes[Component], Recipes[[#This Row],[Selected Sorted]]), "")</f>
        <v/>
      </c>
      <c r="Y233" s="1" t="str">
        <f>IFERROR(INDEX(Recipes[Quantity], Recipes[[#This Row],[Selected Sorted]]), "")</f>
        <v/>
      </c>
      <c r="AA233" t="s">
        <v>127</v>
      </c>
      <c r="AB233" t="s">
        <v>82</v>
      </c>
      <c r="AC233">
        <v>1</v>
      </c>
      <c r="AD233" s="1" t="str">
        <f>IFERROR(IF(INDEX(Items[Selected Count], MATCH(Recipes2[[#This Row],[Name]], Items[Name], 0)) &gt; 0, ROW() - ROW(Recipes2[#Headers]), ""), "")</f>
        <v/>
      </c>
      <c r="AE233" s="1" t="str">
        <f>IFERROR(SMALL(Recipes2[Selected], ROW() - ROW(Recipes2[#Headers])), "")</f>
        <v/>
      </c>
      <c r="AF233" s="1" t="str">
        <f>IFERROR(INDEX(Recipes2[Name], Recipes2[[#This Row],[Selected Sorted]]), "")</f>
        <v/>
      </c>
      <c r="AG233" s="1" t="str">
        <f>IFERROR(INDEX(Recipes2[Component], Recipes2[[#This Row],[Selected Sorted]]), "")</f>
        <v/>
      </c>
      <c r="AH233" s="1" t="str">
        <f>IFERROR(INDEX(Recipes2[Quantity], Recipes2[[#This Row],[Selected Sorted]]), "")</f>
        <v/>
      </c>
    </row>
    <row r="234" spans="18:34" x14ac:dyDescent="0.25">
      <c r="R234" t="s">
        <v>127</v>
      </c>
      <c r="S234" t="s">
        <v>0</v>
      </c>
      <c r="T234">
        <v>1</v>
      </c>
      <c r="U234" s="1" t="str">
        <f>IFERROR(IF(INDEX(Items[Selected Count], MATCH(Recipes[[#This Row],[Name]], Items[Name], 0)) &gt; 0, ROW() - ROW(Recipes[#Headers]), ""), "")</f>
        <v/>
      </c>
      <c r="V234" s="1" t="str">
        <f>IFERROR(SMALL(Recipes[Selected], ROW() - ROW(Recipes[#Headers])), "")</f>
        <v/>
      </c>
      <c r="W234" s="1" t="str">
        <f>IFERROR(INDEX(Recipes[Name], Recipes[[#This Row],[Selected Sorted]]), "")</f>
        <v/>
      </c>
      <c r="X234" s="1" t="str">
        <f>IFERROR(INDEX(Recipes[Component], Recipes[[#This Row],[Selected Sorted]]), "")</f>
        <v/>
      </c>
      <c r="Y234" s="1" t="str">
        <f>IFERROR(INDEX(Recipes[Quantity], Recipes[[#This Row],[Selected Sorted]]), "")</f>
        <v/>
      </c>
      <c r="AA234" t="s">
        <v>128</v>
      </c>
      <c r="AB234" t="s">
        <v>82</v>
      </c>
      <c r="AC234">
        <v>100</v>
      </c>
      <c r="AD234" s="1" t="str">
        <f>IFERROR(IF(INDEX(Items[Selected Count], MATCH(Recipes2[[#This Row],[Name]], Items[Name], 0)) &gt; 0, ROW() - ROW(Recipes2[#Headers]), ""), "")</f>
        <v/>
      </c>
      <c r="AE234" s="1" t="str">
        <f>IFERROR(SMALL(Recipes2[Selected], ROW() - ROW(Recipes2[#Headers])), "")</f>
        <v/>
      </c>
      <c r="AF234" s="1" t="str">
        <f>IFERROR(INDEX(Recipes2[Name], Recipes2[[#This Row],[Selected Sorted]]), "")</f>
        <v/>
      </c>
      <c r="AG234" s="1" t="str">
        <f>IFERROR(INDEX(Recipes2[Component], Recipes2[[#This Row],[Selected Sorted]]), "")</f>
        <v/>
      </c>
      <c r="AH234" s="1" t="str">
        <f>IFERROR(INDEX(Recipes2[Quantity], Recipes2[[#This Row],[Selected Sorted]]), "")</f>
        <v/>
      </c>
    </row>
    <row r="235" spans="18:34" x14ac:dyDescent="0.25">
      <c r="R235" t="s">
        <v>130</v>
      </c>
      <c r="S235" t="s">
        <v>131</v>
      </c>
      <c r="T235">
        <v>10</v>
      </c>
      <c r="U235" s="1" t="str">
        <f>IFERROR(IF(INDEX(Items[Selected Count], MATCH(Recipes[[#This Row],[Name]], Items[Name], 0)) &gt; 0, ROW() - ROW(Recipes[#Headers]), ""), "")</f>
        <v/>
      </c>
      <c r="V235" s="1" t="str">
        <f>IFERROR(SMALL(Recipes[Selected], ROW() - ROW(Recipes[#Headers])), "")</f>
        <v/>
      </c>
      <c r="W235" s="1" t="str">
        <f>IFERROR(INDEX(Recipes[Name], Recipes[[#This Row],[Selected Sorted]]), "")</f>
        <v/>
      </c>
      <c r="X235" s="1" t="str">
        <f>IFERROR(INDEX(Recipes[Component], Recipes[[#This Row],[Selected Sorted]]), "")</f>
        <v/>
      </c>
      <c r="Y235" s="1" t="str">
        <f>IFERROR(INDEX(Recipes[Quantity], Recipes[[#This Row],[Selected Sorted]]), "")</f>
        <v/>
      </c>
      <c r="AA235" t="s">
        <v>114</v>
      </c>
      <c r="AB235" t="s">
        <v>82</v>
      </c>
      <c r="AC235">
        <v>5</v>
      </c>
      <c r="AD235" s="1" t="str">
        <f>IFERROR(IF(INDEX(Items[Selected Count], MATCH(Recipes2[[#This Row],[Name]], Items[Name], 0)) &gt; 0, ROW() - ROW(Recipes2[#Headers]), ""), "")</f>
        <v/>
      </c>
      <c r="AE235" s="1" t="str">
        <f>IFERROR(SMALL(Recipes2[Selected], ROW() - ROW(Recipes2[#Headers])), "")</f>
        <v/>
      </c>
      <c r="AF235" s="1" t="str">
        <f>IFERROR(INDEX(Recipes2[Name], Recipes2[[#This Row],[Selected Sorted]]), "")</f>
        <v/>
      </c>
      <c r="AG235" s="1" t="str">
        <f>IFERROR(INDEX(Recipes2[Component], Recipes2[[#This Row],[Selected Sorted]]), "")</f>
        <v/>
      </c>
      <c r="AH235" s="1" t="str">
        <f>IFERROR(INDEX(Recipes2[Quantity], Recipes2[[#This Row],[Selected Sorted]]), "")</f>
        <v/>
      </c>
    </row>
    <row r="236" spans="18:34" x14ac:dyDescent="0.25">
      <c r="R236" t="s">
        <v>137</v>
      </c>
      <c r="S236" t="s">
        <v>129</v>
      </c>
      <c r="T236">
        <v>1000</v>
      </c>
      <c r="U236" s="1" t="str">
        <f>IFERROR(IF(INDEX(Items[Selected Count], MATCH(Recipes[[#This Row],[Name]], Items[Name], 0)) &gt; 0, ROW() - ROW(Recipes[#Headers]), ""), "")</f>
        <v/>
      </c>
      <c r="V236" s="1" t="str">
        <f>IFERROR(SMALL(Recipes[Selected], ROW() - ROW(Recipes[#Headers])), "")</f>
        <v/>
      </c>
      <c r="W236" s="1" t="str">
        <f>IFERROR(INDEX(Recipes[Name], Recipes[[#This Row],[Selected Sorted]]), "")</f>
        <v/>
      </c>
      <c r="X236" s="1" t="str">
        <f>IFERROR(INDEX(Recipes[Component], Recipes[[#This Row],[Selected Sorted]]), "")</f>
        <v/>
      </c>
      <c r="Y236" s="1" t="str">
        <f>IFERROR(INDEX(Recipes[Quantity], Recipes[[#This Row],[Selected Sorted]]), "")</f>
        <v/>
      </c>
      <c r="AA236" t="s">
        <v>115</v>
      </c>
      <c r="AB236" t="s">
        <v>82</v>
      </c>
      <c r="AC236">
        <v>5</v>
      </c>
      <c r="AD236" s="1" t="str">
        <f>IFERROR(IF(INDEX(Items[Selected Count], MATCH(Recipes2[[#This Row],[Name]], Items[Name], 0)) &gt; 0, ROW() - ROW(Recipes2[#Headers]), ""), "")</f>
        <v/>
      </c>
      <c r="AE236" s="1" t="str">
        <f>IFERROR(SMALL(Recipes2[Selected], ROW() - ROW(Recipes2[#Headers])), "")</f>
        <v/>
      </c>
      <c r="AF236" s="1" t="str">
        <f>IFERROR(INDEX(Recipes2[Name], Recipes2[[#This Row],[Selected Sorted]]), "")</f>
        <v/>
      </c>
      <c r="AG236" s="1" t="str">
        <f>IFERROR(INDEX(Recipes2[Component], Recipes2[[#This Row],[Selected Sorted]]), "")</f>
        <v/>
      </c>
      <c r="AH236" s="1" t="str">
        <f>IFERROR(INDEX(Recipes2[Quantity], Recipes2[[#This Row],[Selected Sorted]]), "")</f>
        <v/>
      </c>
    </row>
    <row r="237" spans="18:34" x14ac:dyDescent="0.25">
      <c r="R237" t="s">
        <v>137</v>
      </c>
      <c r="S237" t="s">
        <v>127</v>
      </c>
      <c r="T237">
        <v>1000</v>
      </c>
      <c r="U237" s="1" t="str">
        <f>IFERROR(IF(INDEX(Items[Selected Count], MATCH(Recipes[[#This Row],[Name]], Items[Name], 0)) &gt; 0, ROW() - ROW(Recipes[#Headers]), ""), "")</f>
        <v/>
      </c>
      <c r="V237" s="1" t="str">
        <f>IFERROR(SMALL(Recipes[Selected], ROW() - ROW(Recipes[#Headers])), "")</f>
        <v/>
      </c>
      <c r="W237" s="1" t="str">
        <f>IFERROR(INDEX(Recipes[Name], Recipes[[#This Row],[Selected Sorted]]), "")</f>
        <v/>
      </c>
      <c r="X237" s="1" t="str">
        <f>IFERROR(INDEX(Recipes[Component], Recipes[[#This Row],[Selected Sorted]]), "")</f>
        <v/>
      </c>
      <c r="Y237" s="1" t="str">
        <f>IFERROR(INDEX(Recipes[Quantity], Recipes[[#This Row],[Selected Sorted]]), "")</f>
        <v/>
      </c>
      <c r="AA237" t="s">
        <v>206</v>
      </c>
      <c r="AB237" t="s">
        <v>78</v>
      </c>
      <c r="AC237">
        <v>1</v>
      </c>
      <c r="AD237" s="1" t="str">
        <f>IFERROR(IF(INDEX(Items[Selected Count], MATCH(Recipes2[[#This Row],[Name]], Items[Name], 0)) &gt; 0, ROW() - ROW(Recipes2[#Headers]), ""), "")</f>
        <v/>
      </c>
      <c r="AE237" s="1" t="str">
        <f>IFERROR(SMALL(Recipes2[Selected], ROW() - ROW(Recipes2[#Headers])), "")</f>
        <v/>
      </c>
      <c r="AF237" s="1" t="str">
        <f>IFERROR(INDEX(Recipes2[Name], Recipes2[[#This Row],[Selected Sorted]]), "")</f>
        <v/>
      </c>
      <c r="AG237" s="1" t="str">
        <f>IFERROR(INDEX(Recipes2[Component], Recipes2[[#This Row],[Selected Sorted]]), "")</f>
        <v/>
      </c>
      <c r="AH237" s="1" t="str">
        <f>IFERROR(INDEX(Recipes2[Quantity], Recipes2[[#This Row],[Selected Sorted]]), "")</f>
        <v/>
      </c>
    </row>
    <row r="238" spans="18:34" x14ac:dyDescent="0.25">
      <c r="R238" t="s">
        <v>137</v>
      </c>
      <c r="S238" t="s">
        <v>130</v>
      </c>
      <c r="T238">
        <v>1000</v>
      </c>
      <c r="U238" s="1" t="str">
        <f>IFERROR(IF(INDEX(Items[Selected Count], MATCH(Recipes[[#This Row],[Name]], Items[Name], 0)) &gt; 0, ROW() - ROW(Recipes[#Headers]), ""), "")</f>
        <v/>
      </c>
      <c r="V238" s="1" t="str">
        <f>IFERROR(SMALL(Recipes[Selected], ROW() - ROW(Recipes[#Headers])), "")</f>
        <v/>
      </c>
      <c r="W238" s="1" t="str">
        <f>IFERROR(INDEX(Recipes[Name], Recipes[[#This Row],[Selected Sorted]]), "")</f>
        <v/>
      </c>
      <c r="X238" s="1" t="str">
        <f>IFERROR(INDEX(Recipes[Component], Recipes[[#This Row],[Selected Sorted]]), "")</f>
        <v/>
      </c>
      <c r="Y238" s="1" t="str">
        <f>IFERROR(INDEX(Recipes[Quantity], Recipes[[#This Row],[Selected Sorted]]), "")</f>
        <v/>
      </c>
      <c r="AA238" t="s">
        <v>118</v>
      </c>
      <c r="AB238" t="s">
        <v>117</v>
      </c>
      <c r="AC238">
        <v>4</v>
      </c>
      <c r="AD238" s="1" t="str">
        <f>IFERROR(IF(INDEX(Items[Selected Count], MATCH(Recipes2[[#This Row],[Name]], Items[Name], 0)) &gt; 0, ROW() - ROW(Recipes2[#Headers]), ""), "")</f>
        <v/>
      </c>
      <c r="AE238" s="1" t="str">
        <f>IFERROR(SMALL(Recipes2[Selected], ROW() - ROW(Recipes2[#Headers])), "")</f>
        <v/>
      </c>
      <c r="AF238" s="1" t="str">
        <f>IFERROR(INDEX(Recipes2[Name], Recipes2[[#This Row],[Selected Sorted]]), "")</f>
        <v/>
      </c>
      <c r="AG238" s="1" t="str">
        <f>IFERROR(INDEX(Recipes2[Component], Recipes2[[#This Row],[Selected Sorted]]), "")</f>
        <v/>
      </c>
      <c r="AH238" s="1" t="str">
        <f>IFERROR(INDEX(Recipes2[Quantity], Recipes2[[#This Row],[Selected Sorted]]), "")</f>
        <v/>
      </c>
    </row>
    <row r="239" spans="18:34" x14ac:dyDescent="0.25">
      <c r="R239" t="s">
        <v>203</v>
      </c>
      <c r="S239" t="s">
        <v>129</v>
      </c>
      <c r="T239">
        <v>1000</v>
      </c>
      <c r="U239" s="1" t="str">
        <f>IFERROR(IF(INDEX(Items[Selected Count], MATCH(Recipes[[#This Row],[Name]], Items[Name], 0)) &gt; 0, ROW() - ROW(Recipes[#Headers]), ""), "")</f>
        <v/>
      </c>
      <c r="V239" s="1" t="str">
        <f>IFERROR(SMALL(Recipes[Selected], ROW() - ROW(Recipes[#Headers])), "")</f>
        <v/>
      </c>
      <c r="W239" s="1" t="str">
        <f>IFERROR(INDEX(Recipes[Name], Recipes[[#This Row],[Selected Sorted]]), "")</f>
        <v/>
      </c>
      <c r="X239" s="1" t="str">
        <f>IFERROR(INDEX(Recipes[Component], Recipes[[#This Row],[Selected Sorted]]), "")</f>
        <v/>
      </c>
      <c r="Y239" s="1" t="str">
        <f>IFERROR(INDEX(Recipes[Quantity], Recipes[[#This Row],[Selected Sorted]]), "")</f>
        <v/>
      </c>
      <c r="AA239" t="s">
        <v>119</v>
      </c>
      <c r="AB239" t="s">
        <v>118</v>
      </c>
      <c r="AC239">
        <v>5</v>
      </c>
      <c r="AD239" s="1" t="str">
        <f>IFERROR(IF(INDEX(Items[Selected Count], MATCH(Recipes2[[#This Row],[Name]], Items[Name], 0)) &gt; 0, ROW() - ROW(Recipes2[#Headers]), ""), "")</f>
        <v/>
      </c>
      <c r="AE239" s="1" t="str">
        <f>IFERROR(SMALL(Recipes2[Selected], ROW() - ROW(Recipes2[#Headers])), "")</f>
        <v/>
      </c>
      <c r="AF239" s="1" t="str">
        <f>IFERROR(INDEX(Recipes2[Name], Recipes2[[#This Row],[Selected Sorted]]), "")</f>
        <v/>
      </c>
      <c r="AG239" s="1" t="str">
        <f>IFERROR(INDEX(Recipes2[Component], Recipes2[[#This Row],[Selected Sorted]]), "")</f>
        <v/>
      </c>
      <c r="AH239" s="1" t="str">
        <f>IFERROR(INDEX(Recipes2[Quantity], Recipes2[[#This Row],[Selected Sorted]]), "")</f>
        <v/>
      </c>
    </row>
    <row r="240" spans="18:34" x14ac:dyDescent="0.25">
      <c r="R240" t="s">
        <v>203</v>
      </c>
      <c r="S240" t="s">
        <v>127</v>
      </c>
      <c r="T240">
        <v>1000</v>
      </c>
      <c r="U240" s="1" t="str">
        <f>IFERROR(IF(INDEX(Items[Selected Count], MATCH(Recipes[[#This Row],[Name]], Items[Name], 0)) &gt; 0, ROW() - ROW(Recipes[#Headers]), ""), "")</f>
        <v/>
      </c>
      <c r="V240" s="1" t="str">
        <f>IFERROR(SMALL(Recipes[Selected], ROW() - ROW(Recipes[#Headers])), "")</f>
        <v/>
      </c>
      <c r="W240" s="1" t="str">
        <f>IFERROR(INDEX(Recipes[Name], Recipes[[#This Row],[Selected Sorted]]), "")</f>
        <v/>
      </c>
      <c r="X240" s="1" t="str">
        <f>IFERROR(INDEX(Recipes[Component], Recipes[[#This Row],[Selected Sorted]]), "")</f>
        <v/>
      </c>
      <c r="Y240" s="1" t="str">
        <f>IFERROR(INDEX(Recipes[Quantity], Recipes[[#This Row],[Selected Sorted]]), "")</f>
        <v/>
      </c>
      <c r="AA240" t="s">
        <v>128</v>
      </c>
      <c r="AB240" t="s">
        <v>69</v>
      </c>
      <c r="AC240">
        <v>5</v>
      </c>
      <c r="AD240" s="1" t="str">
        <f>IFERROR(IF(INDEX(Items[Selected Count], MATCH(Recipes2[[#This Row],[Name]], Items[Name], 0)) &gt; 0, ROW() - ROW(Recipes2[#Headers]), ""), "")</f>
        <v/>
      </c>
      <c r="AE240" s="1" t="str">
        <f>IFERROR(SMALL(Recipes2[Selected], ROW() - ROW(Recipes2[#Headers])), "")</f>
        <v/>
      </c>
      <c r="AF240" s="1" t="str">
        <f>IFERROR(INDEX(Recipes2[Name], Recipes2[[#This Row],[Selected Sorted]]), "")</f>
        <v/>
      </c>
      <c r="AG240" s="1" t="str">
        <f>IFERROR(INDEX(Recipes2[Component], Recipes2[[#This Row],[Selected Sorted]]), "")</f>
        <v/>
      </c>
      <c r="AH240" s="1" t="str">
        <f>IFERROR(INDEX(Recipes2[Quantity], Recipes2[[#This Row],[Selected Sorted]]), "")</f>
        <v/>
      </c>
    </row>
    <row r="241" spans="18:34" x14ac:dyDescent="0.25">
      <c r="R241" t="s">
        <v>203</v>
      </c>
      <c r="S241" t="s">
        <v>130</v>
      </c>
      <c r="T241">
        <v>1000</v>
      </c>
      <c r="U241" s="1" t="str">
        <f>IFERROR(IF(INDEX(Items[Selected Count], MATCH(Recipes[[#This Row],[Name]], Items[Name], 0)) &gt; 0, ROW() - ROW(Recipes[#Headers]), ""), "")</f>
        <v/>
      </c>
      <c r="V241" s="1" t="str">
        <f>IFERROR(SMALL(Recipes[Selected], ROW() - ROW(Recipes[#Headers])), "")</f>
        <v/>
      </c>
      <c r="W241" s="1" t="str">
        <f>IFERROR(INDEX(Recipes[Name], Recipes[[#This Row],[Selected Sorted]]), "")</f>
        <v/>
      </c>
      <c r="X241" s="1" t="str">
        <f>IFERROR(INDEX(Recipes[Component], Recipes[[#This Row],[Selected Sorted]]), "")</f>
        <v/>
      </c>
      <c r="Y241" s="1" t="str">
        <f>IFERROR(INDEX(Recipes[Quantity], Recipes[[#This Row],[Selected Sorted]]), "")</f>
        <v/>
      </c>
      <c r="AA241" t="s">
        <v>104</v>
      </c>
      <c r="AB241" t="s">
        <v>105</v>
      </c>
      <c r="AC241">
        <v>1</v>
      </c>
      <c r="AD241" s="1" t="str">
        <f>IFERROR(IF(INDEX(Items[Selected Count], MATCH(Recipes2[[#This Row],[Name]], Items[Name], 0)) &gt; 0, ROW() - ROW(Recipes2[#Headers]), ""), "")</f>
        <v/>
      </c>
      <c r="AE241" s="1" t="str">
        <f>IFERROR(SMALL(Recipes2[Selected], ROW() - ROW(Recipes2[#Headers])), "")</f>
        <v/>
      </c>
      <c r="AF241" s="1" t="str">
        <f>IFERROR(INDEX(Recipes2[Name], Recipes2[[#This Row],[Selected Sorted]]), "")</f>
        <v/>
      </c>
      <c r="AG241" s="1" t="str">
        <f>IFERROR(INDEX(Recipes2[Component], Recipes2[[#This Row],[Selected Sorted]]), "")</f>
        <v/>
      </c>
      <c r="AH241" s="1" t="str">
        <f>IFERROR(INDEX(Recipes2[Quantity], Recipes2[[#This Row],[Selected Sorted]]), "")</f>
        <v/>
      </c>
    </row>
    <row r="242" spans="18:34" x14ac:dyDescent="0.25">
      <c r="R242" t="s">
        <v>203</v>
      </c>
      <c r="S242" t="s">
        <v>128</v>
      </c>
      <c r="T242">
        <v>1</v>
      </c>
      <c r="U242" s="1" t="str">
        <f>IFERROR(IF(INDEX(Items[Selected Count], MATCH(Recipes[[#This Row],[Name]], Items[Name], 0)) &gt; 0, ROW() - ROW(Recipes[#Headers]), ""), "")</f>
        <v/>
      </c>
      <c r="V242" s="1" t="str">
        <f>IFERROR(SMALL(Recipes[Selected], ROW() - ROW(Recipes[#Headers])), "")</f>
        <v/>
      </c>
      <c r="W242" s="1" t="str">
        <f>IFERROR(INDEX(Recipes[Name], Recipes[[#This Row],[Selected Sorted]]), "")</f>
        <v/>
      </c>
      <c r="X242" s="1" t="str">
        <f>IFERROR(INDEX(Recipes[Component], Recipes[[#This Row],[Selected Sorted]]), "")</f>
        <v/>
      </c>
      <c r="Y242" s="1" t="str">
        <f>IFERROR(INDEX(Recipes[Quantity], Recipes[[#This Row],[Selected Sorted]]), "")</f>
        <v/>
      </c>
      <c r="AA242" t="s">
        <v>137</v>
      </c>
      <c r="AB242" t="s">
        <v>127</v>
      </c>
      <c r="AC242">
        <v>1000</v>
      </c>
      <c r="AD242" s="1" t="str">
        <f>IFERROR(IF(INDEX(Items[Selected Count], MATCH(Recipes2[[#This Row],[Name]], Items[Name], 0)) &gt; 0, ROW() - ROW(Recipes2[#Headers]), ""), "")</f>
        <v/>
      </c>
      <c r="AE242" s="1" t="str">
        <f>IFERROR(SMALL(Recipes2[Selected], ROW() - ROW(Recipes2[#Headers])), "")</f>
        <v/>
      </c>
      <c r="AF242" s="1" t="str">
        <f>IFERROR(INDEX(Recipes2[Name], Recipes2[[#This Row],[Selected Sorted]]), "")</f>
        <v/>
      </c>
      <c r="AG242" s="1" t="str">
        <f>IFERROR(INDEX(Recipes2[Component], Recipes2[[#This Row],[Selected Sorted]]), "")</f>
        <v/>
      </c>
      <c r="AH242" s="1" t="str">
        <f>IFERROR(INDEX(Recipes2[Quantity], Recipes2[[#This Row],[Selected Sorted]]), "")</f>
        <v/>
      </c>
    </row>
    <row r="243" spans="18:34" x14ac:dyDescent="0.25">
      <c r="R243" t="s">
        <v>128</v>
      </c>
      <c r="S243" t="s">
        <v>68</v>
      </c>
      <c r="T243">
        <v>100</v>
      </c>
      <c r="U243" s="1" t="str">
        <f>IFERROR(IF(INDEX(Items[Selected Count], MATCH(Recipes[[#This Row],[Name]], Items[Name], 0)) &gt; 0, ROW() - ROW(Recipes[#Headers]), ""), "")</f>
        <v/>
      </c>
      <c r="V243" s="1" t="str">
        <f>IFERROR(SMALL(Recipes[Selected], ROW() - ROW(Recipes[#Headers])), "")</f>
        <v/>
      </c>
      <c r="W243" s="1" t="str">
        <f>IFERROR(INDEX(Recipes[Name], Recipes[[#This Row],[Selected Sorted]]), "")</f>
        <v/>
      </c>
      <c r="X243" s="1" t="str">
        <f>IFERROR(INDEX(Recipes[Component], Recipes[[#This Row],[Selected Sorted]]), "")</f>
        <v/>
      </c>
      <c r="Y243" s="1" t="str">
        <f>IFERROR(INDEX(Recipes[Quantity], Recipes[[#This Row],[Selected Sorted]]), "")</f>
        <v/>
      </c>
      <c r="AA243" t="s">
        <v>203</v>
      </c>
      <c r="AB243" t="s">
        <v>127</v>
      </c>
      <c r="AC243">
        <v>1000</v>
      </c>
      <c r="AD243" s="1" t="str">
        <f>IFERROR(IF(INDEX(Items[Selected Count], MATCH(Recipes2[[#This Row],[Name]], Items[Name], 0)) &gt; 0, ROW() - ROW(Recipes2[#Headers]), ""), "")</f>
        <v/>
      </c>
      <c r="AE243" s="1" t="str">
        <f>IFERROR(SMALL(Recipes2[Selected], ROW() - ROW(Recipes2[#Headers])), "")</f>
        <v/>
      </c>
      <c r="AF243" s="1" t="str">
        <f>IFERROR(INDEX(Recipes2[Name], Recipes2[[#This Row],[Selected Sorted]]), "")</f>
        <v/>
      </c>
      <c r="AG243" s="1" t="str">
        <f>IFERROR(INDEX(Recipes2[Component], Recipes2[[#This Row],[Selected Sorted]]), "")</f>
        <v/>
      </c>
      <c r="AH243" s="1" t="str">
        <f>IFERROR(INDEX(Recipes2[Quantity], Recipes2[[#This Row],[Selected Sorted]]), "")</f>
        <v/>
      </c>
    </row>
    <row r="244" spans="18:34" x14ac:dyDescent="0.25">
      <c r="R244" t="s">
        <v>128</v>
      </c>
      <c r="S244" t="s">
        <v>129</v>
      </c>
      <c r="T244">
        <v>100</v>
      </c>
      <c r="U244" s="1" t="str">
        <f>IFERROR(IF(INDEX(Items[Selected Count], MATCH(Recipes[[#This Row],[Name]], Items[Name], 0)) &gt; 0, ROW() - ROW(Recipes[#Headers]), ""), "")</f>
        <v/>
      </c>
      <c r="V244" s="1" t="str">
        <f>IFERROR(SMALL(Recipes[Selected], ROW() - ROW(Recipes[#Headers])), "")</f>
        <v/>
      </c>
      <c r="W244" s="1" t="str">
        <f>IFERROR(INDEX(Recipes[Name], Recipes[[#This Row],[Selected Sorted]]), "")</f>
        <v/>
      </c>
      <c r="X244" s="1" t="str">
        <f>IFERROR(INDEX(Recipes[Component], Recipes[[#This Row],[Selected Sorted]]), "")</f>
        <v/>
      </c>
      <c r="Y244" s="1" t="str">
        <f>IFERROR(INDEX(Recipes[Quantity], Recipes[[#This Row],[Selected Sorted]]), "")</f>
        <v/>
      </c>
      <c r="AA244" t="s">
        <v>137</v>
      </c>
      <c r="AB244" t="s">
        <v>130</v>
      </c>
      <c r="AC244">
        <v>1000</v>
      </c>
      <c r="AD244" s="1" t="str">
        <f>IFERROR(IF(INDEX(Items[Selected Count], MATCH(Recipes2[[#This Row],[Name]], Items[Name], 0)) &gt; 0, ROW() - ROW(Recipes2[#Headers]), ""), "")</f>
        <v/>
      </c>
      <c r="AE244" s="1" t="str">
        <f>IFERROR(SMALL(Recipes2[Selected], ROW() - ROW(Recipes2[#Headers])), "")</f>
        <v/>
      </c>
      <c r="AF244" s="1" t="str">
        <f>IFERROR(INDEX(Recipes2[Name], Recipes2[[#This Row],[Selected Sorted]]), "")</f>
        <v/>
      </c>
      <c r="AG244" s="1" t="str">
        <f>IFERROR(INDEX(Recipes2[Component], Recipes2[[#This Row],[Selected Sorted]]), "")</f>
        <v/>
      </c>
      <c r="AH244" s="1" t="str">
        <f>IFERROR(INDEX(Recipes2[Quantity], Recipes2[[#This Row],[Selected Sorted]]), "")</f>
        <v/>
      </c>
    </row>
    <row r="245" spans="18:34" x14ac:dyDescent="0.25">
      <c r="R245" t="s">
        <v>128</v>
      </c>
      <c r="S245" t="s">
        <v>82</v>
      </c>
      <c r="T245">
        <v>100</v>
      </c>
      <c r="U245" s="1" t="str">
        <f>IFERROR(IF(INDEX(Items[Selected Count], MATCH(Recipes[[#This Row],[Name]], Items[Name], 0)) &gt; 0, ROW() - ROW(Recipes[#Headers]), ""), "")</f>
        <v/>
      </c>
      <c r="V245" s="1" t="str">
        <f>IFERROR(SMALL(Recipes[Selected], ROW() - ROW(Recipes[#Headers])), "")</f>
        <v/>
      </c>
      <c r="W245" s="1" t="str">
        <f>IFERROR(INDEX(Recipes[Name], Recipes[[#This Row],[Selected Sorted]]), "")</f>
        <v/>
      </c>
      <c r="X245" s="1" t="str">
        <f>IFERROR(INDEX(Recipes[Component], Recipes[[#This Row],[Selected Sorted]]), "")</f>
        <v/>
      </c>
      <c r="Y245" s="1" t="str">
        <f>IFERROR(INDEX(Recipes[Quantity], Recipes[[#This Row],[Selected Sorted]]), "")</f>
        <v/>
      </c>
      <c r="AA245" t="s">
        <v>203</v>
      </c>
      <c r="AB245" t="s">
        <v>130</v>
      </c>
      <c r="AC245">
        <v>1000</v>
      </c>
      <c r="AD245" s="1" t="str">
        <f>IFERROR(IF(INDEX(Items[Selected Count], MATCH(Recipes2[[#This Row],[Name]], Items[Name], 0)) &gt; 0, ROW() - ROW(Recipes2[#Headers]), ""), "")</f>
        <v/>
      </c>
      <c r="AE245" s="1" t="str">
        <f>IFERROR(SMALL(Recipes2[Selected], ROW() - ROW(Recipes2[#Headers])), "")</f>
        <v/>
      </c>
      <c r="AF245" s="1" t="str">
        <f>IFERROR(INDEX(Recipes2[Name], Recipes2[[#This Row],[Selected Sorted]]), "")</f>
        <v/>
      </c>
      <c r="AG245" s="1" t="str">
        <f>IFERROR(INDEX(Recipes2[Component], Recipes2[[#This Row],[Selected Sorted]]), "")</f>
        <v/>
      </c>
      <c r="AH245" s="1" t="str">
        <f>IFERROR(INDEX(Recipes2[Quantity], Recipes2[[#This Row],[Selected Sorted]]), "")</f>
        <v/>
      </c>
    </row>
    <row r="246" spans="18:34" x14ac:dyDescent="0.25">
      <c r="R246" t="s">
        <v>128</v>
      </c>
      <c r="S246" t="s">
        <v>69</v>
      </c>
      <c r="T246">
        <v>5</v>
      </c>
      <c r="U246" s="1" t="str">
        <f>IFERROR(IF(INDEX(Items[Selected Count], MATCH(Recipes[[#This Row],[Name]], Items[Name], 0)) &gt; 0, ROW() - ROW(Recipes[#Headers]), ""), "")</f>
        <v/>
      </c>
      <c r="V246" s="1" t="str">
        <f>IFERROR(SMALL(Recipes[Selected], ROW() - ROW(Recipes[#Headers])), "")</f>
        <v/>
      </c>
      <c r="W246" s="1" t="str">
        <f>IFERROR(INDEX(Recipes[Name], Recipes[[#This Row],[Selected Sorted]]), "")</f>
        <v/>
      </c>
      <c r="X246" s="1" t="str">
        <f>IFERROR(INDEX(Recipes[Component], Recipes[[#This Row],[Selected Sorted]]), "")</f>
        <v/>
      </c>
      <c r="Y246" s="1" t="str">
        <f>IFERROR(INDEX(Recipes[Quantity], Recipes[[#This Row],[Selected Sorted]]), "")</f>
        <v/>
      </c>
      <c r="AA246" t="s">
        <v>128</v>
      </c>
      <c r="AB246" t="s">
        <v>130</v>
      </c>
      <c r="AC246">
        <v>50</v>
      </c>
      <c r="AD246" s="1" t="str">
        <f>IFERROR(IF(INDEX(Items[Selected Count], MATCH(Recipes2[[#This Row],[Name]], Items[Name], 0)) &gt; 0, ROW() - ROW(Recipes2[#Headers]), ""), "")</f>
        <v/>
      </c>
      <c r="AE246" s="1" t="str">
        <f>IFERROR(SMALL(Recipes2[Selected], ROW() - ROW(Recipes2[#Headers])), "")</f>
        <v/>
      </c>
      <c r="AF246" s="1" t="str">
        <f>IFERROR(INDEX(Recipes2[Name], Recipes2[[#This Row],[Selected Sorted]]), "")</f>
        <v/>
      </c>
      <c r="AG246" s="1" t="str">
        <f>IFERROR(INDEX(Recipes2[Component], Recipes2[[#This Row],[Selected Sorted]]), "")</f>
        <v/>
      </c>
      <c r="AH246" s="1" t="str">
        <f>IFERROR(INDEX(Recipes2[Quantity], Recipes2[[#This Row],[Selected Sorted]]), "")</f>
        <v/>
      </c>
    </row>
    <row r="247" spans="18:34" x14ac:dyDescent="0.25">
      <c r="R247" t="s">
        <v>128</v>
      </c>
      <c r="S247" t="s">
        <v>130</v>
      </c>
      <c r="T247">
        <v>50</v>
      </c>
      <c r="U247" s="1" t="str">
        <f>IFERROR(IF(INDEX(Items[Selected Count], MATCH(Recipes[[#This Row],[Name]], Items[Name], 0)) &gt; 0, ROW() - ROW(Recipes[#Headers]), ""), "")</f>
        <v/>
      </c>
      <c r="V247" s="1" t="str">
        <f>IFERROR(SMALL(Recipes[Selected], ROW() - ROW(Recipes[#Headers])), "")</f>
        <v/>
      </c>
      <c r="W247" s="1" t="str">
        <f>IFERROR(INDEX(Recipes[Name], Recipes[[#This Row],[Selected Sorted]]), "")</f>
        <v/>
      </c>
      <c r="X247" s="1" t="str">
        <f>IFERROR(INDEX(Recipes[Component], Recipes[[#This Row],[Selected Sorted]]), "")</f>
        <v/>
      </c>
      <c r="Y247" s="1" t="str">
        <f>IFERROR(INDEX(Recipes[Quantity], Recipes[[#This Row],[Selected Sorted]]), "")</f>
        <v/>
      </c>
      <c r="AA247" t="s">
        <v>203</v>
      </c>
      <c r="AB247" t="s">
        <v>128</v>
      </c>
      <c r="AC247">
        <v>1</v>
      </c>
      <c r="AD247" s="1" t="str">
        <f>IFERROR(IF(INDEX(Items[Selected Count], MATCH(Recipes2[[#This Row],[Name]], Items[Name], 0)) &gt; 0, ROW() - ROW(Recipes2[#Headers]), ""), "")</f>
        <v/>
      </c>
      <c r="AE247" s="1" t="str">
        <f>IFERROR(SMALL(Recipes2[Selected], ROW() - ROW(Recipes2[#Headers])), "")</f>
        <v/>
      </c>
      <c r="AF247" s="1" t="str">
        <f>IFERROR(INDEX(Recipes2[Name], Recipes2[[#This Row],[Selected Sorted]]), "")</f>
        <v/>
      </c>
      <c r="AG247" s="1" t="str">
        <f>IFERROR(INDEX(Recipes2[Component], Recipes2[[#This Row],[Selected Sorted]]), "")</f>
        <v/>
      </c>
      <c r="AH247" s="1" t="str">
        <f>IFERROR(INDEX(Recipes2[Quantity], Recipes2[[#This Row],[Selected Sorted]]), "")</f>
        <v/>
      </c>
    </row>
    <row r="248" spans="18:34" x14ac:dyDescent="0.25">
      <c r="R248" t="s">
        <v>128</v>
      </c>
      <c r="S248" t="s">
        <v>67</v>
      </c>
      <c r="T248">
        <v>100</v>
      </c>
      <c r="U248" s="1" t="str">
        <f>IFERROR(IF(INDEX(Items[Selected Count], MATCH(Recipes[[#This Row],[Name]], Items[Name], 0)) &gt; 0, ROW() - ROW(Recipes[#Headers]), ""), "")</f>
        <v/>
      </c>
      <c r="V248" s="1" t="str">
        <f>IFERROR(SMALL(Recipes[Selected], ROW() - ROW(Recipes[#Headers])), "")</f>
        <v/>
      </c>
      <c r="W248" s="1" t="str">
        <f>IFERROR(INDEX(Recipes[Name], Recipes[[#This Row],[Selected Sorted]]), "")</f>
        <v/>
      </c>
      <c r="X248" s="1" t="str">
        <f>IFERROR(INDEX(Recipes[Component], Recipes[[#This Row],[Selected Sorted]]), "")</f>
        <v/>
      </c>
      <c r="Y248" s="1" t="str">
        <f>IFERROR(INDEX(Recipes[Quantity], Recipes[[#This Row],[Selected Sorted]]), "")</f>
        <v/>
      </c>
      <c r="AA248" t="s">
        <v>206</v>
      </c>
      <c r="AB248" t="s">
        <v>48</v>
      </c>
      <c r="AC248">
        <v>1</v>
      </c>
      <c r="AD248" s="1" t="str">
        <f>IFERROR(IF(INDEX(Items[Selected Count], MATCH(Recipes2[[#This Row],[Name]], Items[Name], 0)) &gt; 0, ROW() - ROW(Recipes2[#Headers]), ""), "")</f>
        <v/>
      </c>
      <c r="AE248" s="1" t="str">
        <f>IFERROR(SMALL(Recipes2[Selected], ROW() - ROW(Recipes2[#Headers])), "")</f>
        <v/>
      </c>
      <c r="AF248" s="1" t="str">
        <f>IFERROR(INDEX(Recipes2[Name], Recipes2[[#This Row],[Selected Sorted]]), "")</f>
        <v/>
      </c>
      <c r="AG248" s="1" t="str">
        <f>IFERROR(INDEX(Recipes2[Component], Recipes2[[#This Row],[Selected Sorted]]), "")</f>
        <v/>
      </c>
      <c r="AH248" s="1" t="str">
        <f>IFERROR(INDEX(Recipes2[Quantity], Recipes2[[#This Row],[Selected Sorted]]), "")</f>
        <v/>
      </c>
    </row>
    <row r="249" spans="18:34" x14ac:dyDescent="0.25">
      <c r="R249" t="s">
        <v>48</v>
      </c>
      <c r="S249" t="s">
        <v>4</v>
      </c>
      <c r="T249">
        <v>1</v>
      </c>
      <c r="U249" t="str">
        <f>IFERROR(IF(INDEX(Items[Selected Count], MATCH(Recipes[[#This Row],[Name]], Items[Name], 0)) &gt; 0, ROW() - ROW(Recipes[#Headers]), ""), "")</f>
        <v/>
      </c>
      <c r="V249" t="str">
        <f>IFERROR(SMALL(Recipes[Selected], ROW() - ROW(Recipes[#Headers])), "")</f>
        <v/>
      </c>
      <c r="W249" t="str">
        <f>IFERROR(INDEX(Recipes[Name], Recipes[[#This Row],[Selected Sorted]]), "")</f>
        <v/>
      </c>
      <c r="X249" t="str">
        <f>IFERROR(INDEX(Recipes[Component], Recipes[[#This Row],[Selected Sorted]]), "")</f>
        <v/>
      </c>
      <c r="Y249" s="1" t="str">
        <f>IFERROR(INDEX(Recipes[Quantity], Recipes[[#This Row],[Selected Sorted]]), "")</f>
        <v/>
      </c>
      <c r="AA249" t="s">
        <v>206</v>
      </c>
      <c r="AB249" t="s">
        <v>49</v>
      </c>
      <c r="AC249">
        <v>1</v>
      </c>
      <c r="AD249" s="1" t="str">
        <f>IFERROR(IF(INDEX(Items[Selected Count], MATCH(Recipes2[[#This Row],[Name]], Items[Name], 0)) &gt; 0, ROW() - ROW(Recipes2[#Headers]), ""), "")</f>
        <v/>
      </c>
      <c r="AE249" s="1" t="str">
        <f>IFERROR(SMALL(Recipes2[Selected], ROW() - ROW(Recipes2[#Headers])), "")</f>
        <v/>
      </c>
      <c r="AF249" s="1" t="str">
        <f>IFERROR(INDEX(Recipes2[Name], Recipes2[[#This Row],[Selected Sorted]]), "")</f>
        <v/>
      </c>
      <c r="AG249" s="1" t="str">
        <f>IFERROR(INDEX(Recipes2[Component], Recipes2[[#This Row],[Selected Sorted]]), "")</f>
        <v/>
      </c>
      <c r="AH249" s="1" t="str">
        <f>IFERROR(INDEX(Recipes2[Quantity], Recipes2[[#This Row],[Selected Sorted]]), "")</f>
        <v/>
      </c>
    </row>
    <row r="250" spans="18:34" x14ac:dyDescent="0.25">
      <c r="R250" t="s">
        <v>48</v>
      </c>
      <c r="S250" t="s">
        <v>8</v>
      </c>
      <c r="T250">
        <v>1</v>
      </c>
      <c r="U250" t="str">
        <f>IFERROR(IF(INDEX(Items[Selected Count], MATCH(Recipes[[#This Row],[Name]], Items[Name], 0)) &gt; 0, ROW() - ROW(Recipes[#Headers]), ""), "")</f>
        <v/>
      </c>
      <c r="V250" t="str">
        <f>IFERROR(SMALL(Recipes[Selected], ROW() - ROW(Recipes[#Headers])), "")</f>
        <v/>
      </c>
      <c r="W250" t="str">
        <f>IFERROR(INDEX(Recipes[Name], Recipes[[#This Row],[Selected Sorted]]), "")</f>
        <v/>
      </c>
      <c r="X250" t="str">
        <f>IFERROR(INDEX(Recipes[Component], Recipes[[#This Row],[Selected Sorted]]), "")</f>
        <v/>
      </c>
      <c r="Y250" s="1" t="str">
        <f>IFERROR(INDEX(Recipes[Quantity], Recipes[[#This Row],[Selected Sorted]]), "")</f>
        <v/>
      </c>
      <c r="AA250" t="s">
        <v>206</v>
      </c>
      <c r="AB250" t="s">
        <v>50</v>
      </c>
      <c r="AC250">
        <v>1</v>
      </c>
      <c r="AD250" s="1" t="str">
        <f>IFERROR(IF(INDEX(Items[Selected Count], MATCH(Recipes2[[#This Row],[Name]], Items[Name], 0)) &gt; 0, ROW() - ROW(Recipes2[#Headers]), ""), "")</f>
        <v/>
      </c>
      <c r="AE250" s="1" t="str">
        <f>IFERROR(SMALL(Recipes2[Selected], ROW() - ROW(Recipes2[#Headers])), "")</f>
        <v/>
      </c>
      <c r="AF250" s="1" t="str">
        <f>IFERROR(INDEX(Recipes2[Name], Recipes2[[#This Row],[Selected Sorted]]), "")</f>
        <v/>
      </c>
      <c r="AG250" s="1" t="str">
        <f>IFERROR(INDEX(Recipes2[Component], Recipes2[[#This Row],[Selected Sorted]]), "")</f>
        <v/>
      </c>
      <c r="AH250" s="1" t="str">
        <f>IFERROR(INDEX(Recipes2[Quantity], Recipes2[[#This Row],[Selected Sorted]]), "")</f>
        <v/>
      </c>
    </row>
    <row r="251" spans="18:34" x14ac:dyDescent="0.25">
      <c r="R251" t="s">
        <v>49</v>
      </c>
      <c r="S251" t="s">
        <v>42</v>
      </c>
      <c r="T251">
        <v>1</v>
      </c>
      <c r="U251" t="str">
        <f>IFERROR(IF(INDEX(Items[Selected Count], MATCH(Recipes[[#This Row],[Name]], Items[Name], 0)) &gt; 0, ROW() - ROW(Recipes[#Headers]), ""), "")</f>
        <v/>
      </c>
      <c r="V251" t="str">
        <f>IFERROR(SMALL(Recipes[Selected], ROW() - ROW(Recipes[#Headers])), "")</f>
        <v/>
      </c>
      <c r="W251" t="str">
        <f>IFERROR(INDEX(Recipes[Name], Recipes[[#This Row],[Selected Sorted]]), "")</f>
        <v/>
      </c>
      <c r="X251" t="str">
        <f>IFERROR(INDEX(Recipes[Component], Recipes[[#This Row],[Selected Sorted]]), "")</f>
        <v/>
      </c>
      <c r="Y251" s="1" t="str">
        <f>IFERROR(INDEX(Recipes[Quantity], Recipes[[#This Row],[Selected Sorted]]), "")</f>
        <v/>
      </c>
      <c r="AA251" t="s">
        <v>128</v>
      </c>
      <c r="AB251" t="s">
        <v>67</v>
      </c>
      <c r="AC251">
        <v>100</v>
      </c>
      <c r="AD251" s="1" t="str">
        <f>IFERROR(IF(INDEX(Items[Selected Count], MATCH(Recipes2[[#This Row],[Name]], Items[Name], 0)) &gt; 0, ROW() - ROW(Recipes2[#Headers]), ""), "")</f>
        <v/>
      </c>
      <c r="AE251" s="1" t="str">
        <f>IFERROR(SMALL(Recipes2[Selected], ROW() - ROW(Recipes2[#Headers])), "")</f>
        <v/>
      </c>
      <c r="AF251" s="1" t="str">
        <f>IFERROR(INDEX(Recipes2[Name], Recipes2[[#This Row],[Selected Sorted]]), "")</f>
        <v/>
      </c>
      <c r="AG251" s="1" t="str">
        <f>IFERROR(INDEX(Recipes2[Component], Recipes2[[#This Row],[Selected Sorted]]), "")</f>
        <v/>
      </c>
      <c r="AH251" s="1" t="str">
        <f>IFERROR(INDEX(Recipes2[Quantity], Recipes2[[#This Row],[Selected Sorted]]), "")</f>
        <v/>
      </c>
    </row>
    <row r="252" spans="18:34" x14ac:dyDescent="0.25">
      <c r="R252" t="s">
        <v>49</v>
      </c>
      <c r="S252" t="s">
        <v>24</v>
      </c>
      <c r="T252">
        <v>1</v>
      </c>
      <c r="U252" t="str">
        <f>IFERROR(IF(INDEX(Items[Selected Count], MATCH(Recipes[[#This Row],[Name]], Items[Name], 0)) &gt; 0, ROW() - ROW(Recipes[#Headers]), ""), "")</f>
        <v/>
      </c>
      <c r="V252" t="str">
        <f>IFERROR(SMALL(Recipes[Selected], ROW() - ROW(Recipes[#Headers])), "")</f>
        <v/>
      </c>
      <c r="W252" t="str">
        <f>IFERROR(INDEX(Recipes[Name], Recipes[[#This Row],[Selected Sorted]]), "")</f>
        <v/>
      </c>
      <c r="X252" t="str">
        <f>IFERROR(INDEX(Recipes[Component], Recipes[[#This Row],[Selected Sorted]]), "")</f>
        <v/>
      </c>
      <c r="Y252" s="1" t="str">
        <f>IFERROR(INDEX(Recipes[Quantity], Recipes[[#This Row],[Selected Sorted]]), "")</f>
        <v/>
      </c>
      <c r="AA252" t="s">
        <v>130</v>
      </c>
      <c r="AB252" t="s">
        <v>131</v>
      </c>
      <c r="AC252">
        <v>10</v>
      </c>
      <c r="AD252" s="1" t="str">
        <f>IFERROR(IF(INDEX(Items[Selected Count], MATCH(Recipes2[[#This Row],[Name]], Items[Name], 0)) &gt; 0, ROW() - ROW(Recipes2[#Headers]), ""), "")</f>
        <v/>
      </c>
      <c r="AE252" s="1" t="str">
        <f>IFERROR(SMALL(Recipes2[Selected], ROW() - ROW(Recipes2[#Headers])), "")</f>
        <v/>
      </c>
      <c r="AF252" s="1" t="str">
        <f>IFERROR(INDEX(Recipes2[Name], Recipes2[[#This Row],[Selected Sorted]]), "")</f>
        <v/>
      </c>
      <c r="AG252" s="1" t="str">
        <f>IFERROR(INDEX(Recipes2[Component], Recipes2[[#This Row],[Selected Sorted]]), "")</f>
        <v/>
      </c>
      <c r="AH252" s="1" t="str">
        <f>IFERROR(INDEX(Recipes2[Quantity], Recipes2[[#This Row],[Selected Sorted]]), "")</f>
        <v/>
      </c>
    </row>
    <row r="253" spans="18:34" x14ac:dyDescent="0.25">
      <c r="R253" t="s">
        <v>50</v>
      </c>
      <c r="S253" t="s">
        <v>6</v>
      </c>
      <c r="T253">
        <v>1</v>
      </c>
      <c r="U253" t="str">
        <f>IFERROR(IF(INDEX(Items[Selected Count], MATCH(Recipes[[#This Row],[Name]], Items[Name], 0)) &gt; 0, ROW() - ROW(Recipes[#Headers]), ""), "")</f>
        <v/>
      </c>
      <c r="V253" t="str">
        <f>IFERROR(SMALL(Recipes[Selected], ROW() - ROW(Recipes[#Headers])), "")</f>
        <v/>
      </c>
      <c r="W253" t="str">
        <f>IFERROR(INDEX(Recipes[Name], Recipes[[#This Row],[Selected Sorted]]), "")</f>
        <v/>
      </c>
      <c r="X253" t="str">
        <f>IFERROR(INDEX(Recipes[Component], Recipes[[#This Row],[Selected Sorted]]), "")</f>
        <v/>
      </c>
      <c r="Y253" s="1" t="str">
        <f>IFERROR(INDEX(Recipes[Quantity], Recipes[[#This Row],[Selected Sorted]]), "")</f>
        <v/>
      </c>
      <c r="AA253" t="s">
        <v>10</v>
      </c>
      <c r="AB253" t="s">
        <v>0</v>
      </c>
      <c r="AC253">
        <v>4</v>
      </c>
      <c r="AD253" t="str">
        <f>IFERROR(IF(INDEX(Items[Selected Count], MATCH(Recipes2[[#This Row],[Name]], Items[Name], 0)) &gt; 0, ROW() - ROW(Recipes2[#Headers]), ""), "")</f>
        <v/>
      </c>
      <c r="AE253" t="str">
        <f>IFERROR(SMALL(Recipes2[Selected], ROW() - ROW(Recipes2[#Headers])), "")</f>
        <v/>
      </c>
      <c r="AF253" t="str">
        <f>IFERROR(INDEX(Recipes2[Name], Recipes2[[#This Row],[Selected Sorted]]), "")</f>
        <v/>
      </c>
      <c r="AG253" t="str">
        <f>IFERROR(INDEX(Recipes2[Component], Recipes2[[#This Row],[Selected Sorted]]), "")</f>
        <v/>
      </c>
      <c r="AH253" s="1" t="str">
        <f>IFERROR(INDEX(Recipes2[Quantity], Recipes2[[#This Row],[Selected Sorted]]), "")</f>
        <v/>
      </c>
    </row>
    <row r="254" spans="18:34" x14ac:dyDescent="0.25">
      <c r="R254" t="s">
        <v>50</v>
      </c>
      <c r="S254" t="s">
        <v>87</v>
      </c>
      <c r="T254">
        <v>1</v>
      </c>
      <c r="U254" t="str">
        <f>IFERROR(IF(INDEX(Items[Selected Count], MATCH(Recipes[[#This Row],[Name]], Items[Name], 0)) &gt; 0, ROW() - ROW(Recipes[#Headers]), ""), "")</f>
        <v/>
      </c>
      <c r="V254" t="str">
        <f>IFERROR(SMALL(Recipes[Selected], ROW() - ROW(Recipes[#Headers])), "")</f>
        <v/>
      </c>
      <c r="W254" t="str">
        <f>IFERROR(INDEX(Recipes[Name], Recipes[[#This Row],[Selected Sorted]]), "")</f>
        <v/>
      </c>
      <c r="X254" t="str">
        <f>IFERROR(INDEX(Recipes[Component], Recipes[[#This Row],[Selected Sorted]]), "")</f>
        <v/>
      </c>
      <c r="Y254" s="1" t="str">
        <f>IFERROR(INDEX(Recipes[Quantity], Recipes[[#This Row],[Selected Sorted]]), "")</f>
        <v/>
      </c>
      <c r="AA254" t="s">
        <v>124</v>
      </c>
      <c r="AB254" t="s">
        <v>0</v>
      </c>
      <c r="AC254">
        <v>1</v>
      </c>
      <c r="AD254" s="1" t="str">
        <f>IFERROR(IF(INDEX(Items[Selected Count], MATCH(Recipes2[[#This Row],[Name]], Items[Name], 0)) &gt; 0, ROW() - ROW(Recipes2[#Headers]), ""), "")</f>
        <v/>
      </c>
      <c r="AE254" s="1" t="str">
        <f>IFERROR(SMALL(Recipes2[Selected], ROW() - ROW(Recipes2[#Headers])), "")</f>
        <v/>
      </c>
      <c r="AF254" s="1" t="str">
        <f>IFERROR(INDEX(Recipes2[Name], Recipes2[[#This Row],[Selected Sorted]]), "")</f>
        <v/>
      </c>
      <c r="AG254" s="1" t="str">
        <f>IFERROR(INDEX(Recipes2[Component], Recipes2[[#This Row],[Selected Sorted]]), "")</f>
        <v/>
      </c>
      <c r="AH254" s="1" t="str">
        <f>IFERROR(INDEX(Recipes2[Quantity], Recipes2[[#This Row],[Selected Sorted]]), "")</f>
        <v/>
      </c>
    </row>
    <row r="255" spans="18:34" x14ac:dyDescent="0.25">
      <c r="R255" t="s">
        <v>50</v>
      </c>
      <c r="S255" t="s">
        <v>53</v>
      </c>
      <c r="T255">
        <v>1</v>
      </c>
      <c r="U255" t="str">
        <f>IFERROR(IF(INDEX(Items[Selected Count], MATCH(Recipes[[#This Row],[Name]], Items[Name], 0)) &gt; 0, ROW() - ROW(Recipes[#Headers]), ""), "")</f>
        <v/>
      </c>
      <c r="V255" t="str">
        <f>IFERROR(SMALL(Recipes[Selected], ROW() - ROW(Recipes[#Headers])), "")</f>
        <v/>
      </c>
      <c r="W255" t="str">
        <f>IFERROR(INDEX(Recipes[Name], Recipes[[#This Row],[Selected Sorted]]), "")</f>
        <v/>
      </c>
      <c r="X255" t="str">
        <f>IFERROR(INDEX(Recipes[Component], Recipes[[#This Row],[Selected Sorted]]), "")</f>
        <v/>
      </c>
      <c r="Y255" s="1" t="str">
        <f>IFERROR(INDEX(Recipes[Quantity], Recipes[[#This Row],[Selected Sorted]]), "")</f>
        <v/>
      </c>
      <c r="AA255" t="s">
        <v>81</v>
      </c>
      <c r="AB255" t="s">
        <v>0</v>
      </c>
      <c r="AC255">
        <v>1</v>
      </c>
      <c r="AD255" s="1" t="str">
        <f>IFERROR(IF(INDEX(Items[Selected Count], MATCH(Recipes2[[#This Row],[Name]], Items[Name], 0)) &gt; 0, ROW() - ROW(Recipes2[#Headers]), ""), "")</f>
        <v/>
      </c>
      <c r="AE255" s="1" t="str">
        <f>IFERROR(SMALL(Recipes2[Selected], ROW() - ROW(Recipes2[#Headers])), "")</f>
        <v/>
      </c>
      <c r="AF255" s="1" t="str">
        <f>IFERROR(INDEX(Recipes2[Name], Recipes2[[#This Row],[Selected Sorted]]), "")</f>
        <v/>
      </c>
      <c r="AG255" s="1" t="str">
        <f>IFERROR(INDEX(Recipes2[Component], Recipes2[[#This Row],[Selected Sorted]]), "")</f>
        <v/>
      </c>
      <c r="AH255" s="1" t="str">
        <f>IFERROR(INDEX(Recipes2[Quantity], Recipes2[[#This Row],[Selected Sorted]]), "")</f>
        <v/>
      </c>
    </row>
    <row r="256" spans="18:34" x14ac:dyDescent="0.25">
      <c r="R256" t="s">
        <v>126</v>
      </c>
      <c r="S256" t="s">
        <v>38</v>
      </c>
      <c r="T256">
        <v>5</v>
      </c>
      <c r="U256" s="1" t="str">
        <f>IFERROR(IF(INDEX(Items[Selected Count], MATCH(Recipes[[#This Row],[Name]], Items[Name], 0)) &gt; 0, ROW() - ROW(Recipes[#Headers]), ""), "")</f>
        <v/>
      </c>
      <c r="V256" s="1" t="str">
        <f>IFERROR(SMALL(Recipes[Selected], ROW() - ROW(Recipes[#Headers])), "")</f>
        <v/>
      </c>
      <c r="W256" s="1" t="str">
        <f>IFERROR(INDEX(Recipes[Name], Recipes[[#This Row],[Selected Sorted]]), "")</f>
        <v/>
      </c>
      <c r="X256" s="1" t="str">
        <f>IFERROR(INDEX(Recipes[Component], Recipes[[#This Row],[Selected Sorted]]), "")</f>
        <v/>
      </c>
      <c r="Y256" s="1" t="str">
        <f>IFERROR(INDEX(Recipes[Quantity], Recipes[[#This Row],[Selected Sorted]]), "")</f>
        <v/>
      </c>
      <c r="AA256" t="s">
        <v>127</v>
      </c>
      <c r="AB256" t="s">
        <v>0</v>
      </c>
      <c r="AC256">
        <v>1</v>
      </c>
      <c r="AD256" s="1" t="str">
        <f>IFERROR(IF(INDEX(Items[Selected Count], MATCH(Recipes2[[#This Row],[Name]], Items[Name], 0)) &gt; 0, ROW() - ROW(Recipes2[#Headers]), ""), "")</f>
        <v/>
      </c>
      <c r="AE256" s="1" t="str">
        <f>IFERROR(SMALL(Recipes2[Selected], ROW() - ROW(Recipes2[#Headers])), "")</f>
        <v/>
      </c>
      <c r="AF256" s="1" t="str">
        <f>IFERROR(INDEX(Recipes2[Name], Recipes2[[#This Row],[Selected Sorted]]), "")</f>
        <v/>
      </c>
      <c r="AG256" s="1" t="str">
        <f>IFERROR(INDEX(Recipes2[Component], Recipes2[[#This Row],[Selected Sorted]]), "")</f>
        <v/>
      </c>
      <c r="AH256" s="1" t="str">
        <f>IFERROR(INDEX(Recipes2[Quantity], Recipes2[[#This Row],[Selected Sorted]]), "")</f>
        <v/>
      </c>
    </row>
    <row r="257" spans="18:34" x14ac:dyDescent="0.25">
      <c r="R257" t="s">
        <v>126</v>
      </c>
      <c r="S257" t="s">
        <v>5</v>
      </c>
      <c r="T257">
        <v>2</v>
      </c>
      <c r="U257" s="1" t="str">
        <f>IFERROR(IF(INDEX(Items[Selected Count], MATCH(Recipes[[#This Row],[Name]], Items[Name], 0)) &gt; 0, ROW() - ROW(Recipes[#Headers]), ""), "")</f>
        <v/>
      </c>
      <c r="V257" s="1" t="str">
        <f>IFERROR(SMALL(Recipes[Selected], ROW() - ROW(Recipes[#Headers])), "")</f>
        <v/>
      </c>
      <c r="W257" s="1" t="str">
        <f>IFERROR(INDEX(Recipes[Name], Recipes[[#This Row],[Selected Sorted]]), "")</f>
        <v/>
      </c>
      <c r="X257" s="1" t="str">
        <f>IFERROR(INDEX(Recipes[Component], Recipes[[#This Row],[Selected Sorted]]), "")</f>
        <v/>
      </c>
      <c r="Y257" s="1" t="str">
        <f>IFERROR(INDEX(Recipes[Quantity], Recipes[[#This Row],[Selected Sorted]]), "")</f>
        <v/>
      </c>
      <c r="AA257" t="s">
        <v>114</v>
      </c>
      <c r="AB257" t="s">
        <v>0</v>
      </c>
      <c r="AC257">
        <v>4</v>
      </c>
      <c r="AD257" s="1" t="str">
        <f>IFERROR(IF(INDEX(Items[Selected Count], MATCH(Recipes2[[#This Row],[Name]], Items[Name], 0)) &gt; 0, ROW() - ROW(Recipes2[#Headers]), ""), "")</f>
        <v/>
      </c>
      <c r="AE257" s="1" t="str">
        <f>IFERROR(SMALL(Recipes2[Selected], ROW() - ROW(Recipes2[#Headers])), "")</f>
        <v/>
      </c>
      <c r="AF257" s="1" t="str">
        <f>IFERROR(INDEX(Recipes2[Name], Recipes2[[#This Row],[Selected Sorted]]), "")</f>
        <v/>
      </c>
      <c r="AG257" s="1" t="str">
        <f>IFERROR(INDEX(Recipes2[Component], Recipes2[[#This Row],[Selected Sorted]]), "")</f>
        <v/>
      </c>
      <c r="AH257" s="1" t="str">
        <f>IFERROR(INDEX(Recipes2[Quantity], Recipes2[[#This Row],[Selected Sorted]]), "")</f>
        <v/>
      </c>
    </row>
    <row r="258" spans="18:34" x14ac:dyDescent="0.25">
      <c r="R258" t="s">
        <v>126</v>
      </c>
      <c r="S258" t="s">
        <v>35</v>
      </c>
      <c r="T258">
        <v>2</v>
      </c>
      <c r="U258" s="1" t="str">
        <f>IFERROR(IF(INDEX(Items[Selected Count], MATCH(Recipes[[#This Row],[Name]], Items[Name], 0)) &gt; 0, ROW() - ROW(Recipes[#Headers]), ""), "")</f>
        <v/>
      </c>
      <c r="V258" s="1" t="str">
        <f>IFERROR(SMALL(Recipes[Selected], ROW() - ROW(Recipes[#Headers])), "")</f>
        <v/>
      </c>
      <c r="W258" s="1" t="str">
        <f>IFERROR(INDEX(Recipes[Name], Recipes[[#This Row],[Selected Sorted]]), "")</f>
        <v/>
      </c>
      <c r="X258" s="1" t="str">
        <f>IFERROR(INDEX(Recipes[Component], Recipes[[#This Row],[Selected Sorted]]), "")</f>
        <v/>
      </c>
      <c r="Y258" s="1" t="str">
        <f>IFERROR(INDEX(Recipes[Quantity], Recipes[[#This Row],[Selected Sorted]]), "")</f>
        <v/>
      </c>
      <c r="AA258" t="s">
        <v>115</v>
      </c>
      <c r="AB258" t="s">
        <v>114</v>
      </c>
      <c r="AC258">
        <v>4</v>
      </c>
      <c r="AD258" s="1" t="str">
        <f>IFERROR(IF(INDEX(Items[Selected Count], MATCH(Recipes2[[#This Row],[Name]], Items[Name], 0)) &gt; 0, ROW() - ROW(Recipes2[#Headers]), ""), "")</f>
        <v/>
      </c>
      <c r="AE258" s="1" t="str">
        <f>IFERROR(SMALL(Recipes2[Selected], ROW() - ROW(Recipes2[#Headers])), "")</f>
        <v/>
      </c>
      <c r="AF258" s="1" t="str">
        <f>IFERROR(INDEX(Recipes2[Name], Recipes2[[#This Row],[Selected Sorted]]), "")</f>
        <v/>
      </c>
      <c r="AG258" s="1" t="str">
        <f>IFERROR(INDEX(Recipes2[Component], Recipes2[[#This Row],[Selected Sorted]]), "")</f>
        <v/>
      </c>
      <c r="AH258" s="1" t="str">
        <f>IFERROR(INDEX(Recipes2[Quantity], Recipes2[[#This Row],[Selected Sorted]]), "")</f>
        <v/>
      </c>
    </row>
    <row r="259" spans="18:34" x14ac:dyDescent="0.25">
      <c r="R259" t="s">
        <v>151</v>
      </c>
      <c r="S259" t="s">
        <v>1</v>
      </c>
      <c r="T259">
        <v>2</v>
      </c>
      <c r="U259" s="1" t="str">
        <f>IFERROR(IF(INDEX(Items[Selected Count], MATCH(Recipes[[#This Row],[Name]], Items[Name], 0)) &gt; 0, ROW() - ROW(Recipes[#Headers]), ""), "")</f>
        <v/>
      </c>
      <c r="V259" s="1" t="str">
        <f>IFERROR(SMALL(Recipes[Selected], ROW() - ROW(Recipes[#Headers])), "")</f>
        <v/>
      </c>
      <c r="W259" s="1" t="str">
        <f>IFERROR(INDEX(Recipes[Name], Recipes[[#This Row],[Selected Sorted]]), "")</f>
        <v/>
      </c>
      <c r="X259" s="1" t="str">
        <f>IFERROR(INDEX(Recipes[Component], Recipes[[#This Row],[Selected Sorted]]), "")</f>
        <v/>
      </c>
      <c r="Y259" s="1" t="str">
        <f>IFERROR(INDEX(Recipes[Quantity], Recipes[[#This Row],[Selected Sorted]]), "")</f>
        <v/>
      </c>
      <c r="AA259" t="s">
        <v>31</v>
      </c>
      <c r="AB259" t="s">
        <v>30</v>
      </c>
      <c r="AC259">
        <v>1</v>
      </c>
      <c r="AD259" t="str">
        <f>IFERROR(IF(INDEX(Items[Selected Count], MATCH(Recipes2[[#This Row],[Name]], Items[Name], 0)) &gt; 0, ROW() - ROW(Recipes2[#Headers]), ""), "")</f>
        <v/>
      </c>
      <c r="AE259" t="str">
        <f>IFERROR(SMALL(Recipes2[Selected], ROW() - ROW(Recipes2[#Headers])), "")</f>
        <v/>
      </c>
      <c r="AF259" t="str">
        <f>IFERROR(INDEX(Recipes2[Name], Recipes2[[#This Row],[Selected Sorted]]), "")</f>
        <v/>
      </c>
      <c r="AG259" t="str">
        <f>IFERROR(INDEX(Recipes2[Component], Recipes2[[#This Row],[Selected Sorted]]), "")</f>
        <v/>
      </c>
      <c r="AH259" s="1" t="str">
        <f>IFERROR(INDEX(Recipes2[Quantity], Recipes2[[#This Row],[Selected Sorted]]), "")</f>
        <v/>
      </c>
    </row>
    <row r="260" spans="18:34" x14ac:dyDescent="0.25">
      <c r="R260" t="s">
        <v>151</v>
      </c>
      <c r="S260" t="s">
        <v>104</v>
      </c>
      <c r="T260">
        <v>2</v>
      </c>
      <c r="U260" s="1" t="str">
        <f>IFERROR(IF(INDEX(Items[Selected Count], MATCH(Recipes[[#This Row],[Name]], Items[Name], 0)) &gt; 0, ROW() - ROW(Recipes[#Headers]), ""), "")</f>
        <v/>
      </c>
      <c r="V260" s="1" t="str">
        <f>IFERROR(SMALL(Recipes[Selected], ROW() - ROW(Recipes[#Headers])), "")</f>
        <v/>
      </c>
      <c r="W260" s="1" t="str">
        <f>IFERROR(INDEX(Recipes[Name], Recipes[[#This Row],[Selected Sorted]]), "")</f>
        <v/>
      </c>
      <c r="X260" s="1" t="str">
        <f>IFERROR(INDEX(Recipes[Component], Recipes[[#This Row],[Selected Sorted]]), "")</f>
        <v/>
      </c>
      <c r="Y260" s="1" t="str">
        <f>IFERROR(INDEX(Recipes[Quantity], Recipes[[#This Row],[Selected Sorted]]), "")</f>
        <v/>
      </c>
      <c r="AA260" t="s">
        <v>47</v>
      </c>
      <c r="AB260" t="s">
        <v>46</v>
      </c>
      <c r="AC260">
        <v>1</v>
      </c>
      <c r="AD260" t="str">
        <f>IFERROR(IF(INDEX(Items[Selected Count], MATCH(Recipes2[[#This Row],[Name]], Items[Name], 0)) &gt; 0, ROW() - ROW(Recipes2[#Headers]), ""), "")</f>
        <v/>
      </c>
      <c r="AE260" t="str">
        <f>IFERROR(SMALL(Recipes2[Selected], ROW() - ROW(Recipes2[#Headers])), "")</f>
        <v/>
      </c>
      <c r="AF260" t="str">
        <f>IFERROR(INDEX(Recipes2[Name], Recipes2[[#This Row],[Selected Sorted]]), "")</f>
        <v/>
      </c>
      <c r="AG260" t="str">
        <f>IFERROR(INDEX(Recipes2[Component], Recipes2[[#This Row],[Selected Sorted]]), "")</f>
        <v/>
      </c>
      <c r="AH260" s="1" t="str">
        <f>IFERROR(INDEX(Recipes2[Quantity], Recipes2[[#This Row],[Selected Sorted]]), "")</f>
        <v/>
      </c>
    </row>
    <row r="261" spans="18:34" x14ac:dyDescent="0.25">
      <c r="R261" t="s">
        <v>67</v>
      </c>
      <c r="S261" t="s">
        <v>4</v>
      </c>
      <c r="T261">
        <v>5</v>
      </c>
      <c r="U261" t="str">
        <f>IFERROR(IF(INDEX(Items[Selected Count], MATCH(Recipes[[#This Row],[Name]], Items[Name], 0)) &gt; 0, ROW() - ROW(Recipes[#Headers]), ""), "")</f>
        <v/>
      </c>
      <c r="V261" t="str">
        <f>IFERROR(SMALL(Recipes[Selected], ROW() - ROW(Recipes[#Headers])), "")</f>
        <v/>
      </c>
      <c r="W261" t="str">
        <f>IFERROR(INDEX(Recipes[Name], Recipes[[#This Row],[Selected Sorted]]), "")</f>
        <v/>
      </c>
      <c r="X261" t="str">
        <f>IFERROR(INDEX(Recipes[Component], Recipes[[#This Row],[Selected Sorted]]), "")</f>
        <v/>
      </c>
      <c r="Y261" s="1" t="str">
        <f>IFERROR(INDEX(Recipes[Quantity], Recipes[[#This Row],[Selected Sorted]]), "")</f>
        <v/>
      </c>
      <c r="AA261" t="s">
        <v>163</v>
      </c>
      <c r="AB261" t="s">
        <v>107</v>
      </c>
      <c r="AC261">
        <v>1</v>
      </c>
      <c r="AD261" s="1" t="str">
        <f>IFERROR(IF(INDEX(Items[Selected Count], MATCH(Recipes2[[#This Row],[Name]], Items[Name], 0)) &gt; 0, ROW() - ROW(Recipes2[#Headers]), ""), "")</f>
        <v/>
      </c>
      <c r="AE261" s="1" t="str">
        <f>IFERROR(SMALL(Recipes2[Selected], ROW() - ROW(Recipes2[#Headers])), "")</f>
        <v/>
      </c>
      <c r="AF261" s="1" t="str">
        <f>IFERROR(INDEX(Recipes2[Name], Recipes2[[#This Row],[Selected Sorted]]), "")</f>
        <v/>
      </c>
      <c r="AG261" s="1" t="str">
        <f>IFERROR(INDEX(Recipes2[Component], Recipes2[[#This Row],[Selected Sorted]]), "")</f>
        <v/>
      </c>
      <c r="AH261" s="1" t="str">
        <f>IFERROR(INDEX(Recipes2[Quantity], Recipes2[[#This Row],[Selected Sorted]]), "")</f>
        <v/>
      </c>
    </row>
    <row r="262" spans="18:34" x14ac:dyDescent="0.25">
      <c r="R262" t="s">
        <v>67</v>
      </c>
      <c r="S262" t="s">
        <v>5</v>
      </c>
      <c r="T262">
        <v>15</v>
      </c>
      <c r="U262" t="str">
        <f>IFERROR(IF(INDEX(Items[Selected Count], MATCH(Recipes[[#This Row],[Name]], Items[Name], 0)) &gt; 0, ROW() - ROW(Recipes[#Headers]), ""), "")</f>
        <v/>
      </c>
      <c r="V262" t="str">
        <f>IFERROR(SMALL(Recipes[Selected], ROW() - ROW(Recipes[#Headers])), "")</f>
        <v/>
      </c>
      <c r="W262" t="str">
        <f>IFERROR(INDEX(Recipes[Name], Recipes[[#This Row],[Selected Sorted]]), "")</f>
        <v/>
      </c>
      <c r="X262" t="str">
        <f>IFERROR(INDEX(Recipes[Component], Recipes[[#This Row],[Selected Sorted]]), "")</f>
        <v/>
      </c>
      <c r="Y262" s="1" t="str">
        <f>IFERROR(INDEX(Recipes[Quantity], Recipes[[#This Row],[Selected Sorted]]), "")</f>
        <v/>
      </c>
      <c r="AA262" t="s">
        <v>164</v>
      </c>
      <c r="AB262" t="s">
        <v>107</v>
      </c>
      <c r="AC262">
        <v>1</v>
      </c>
      <c r="AD262" s="1" t="str">
        <f>IFERROR(IF(INDEX(Items[Selected Count], MATCH(Recipes2[[#This Row],[Name]], Items[Name], 0)) &gt; 0, ROW() - ROW(Recipes2[#Headers]), ""), "")</f>
        <v/>
      </c>
      <c r="AE262" s="1" t="str">
        <f>IFERROR(SMALL(Recipes2[Selected], ROW() - ROW(Recipes2[#Headers])), "")</f>
        <v/>
      </c>
      <c r="AF262" s="1" t="str">
        <f>IFERROR(INDEX(Recipes2[Name], Recipes2[[#This Row],[Selected Sorted]]), "")</f>
        <v/>
      </c>
      <c r="AG262" s="1" t="str">
        <f>IFERROR(INDEX(Recipes2[Component], Recipes2[[#This Row],[Selected Sorted]]), "")</f>
        <v/>
      </c>
      <c r="AH262" s="1" t="str">
        <f>IFERROR(INDEX(Recipes2[Quantity], Recipes2[[#This Row],[Selected Sorted]]), "")</f>
        <v/>
      </c>
    </row>
    <row r="263" spans="18:34" x14ac:dyDescent="0.25">
      <c r="R263" t="s">
        <v>67</v>
      </c>
      <c r="S263" t="s">
        <v>35</v>
      </c>
      <c r="T263">
        <v>5</v>
      </c>
      <c r="U263" t="str">
        <f>IFERROR(IF(INDEX(Items[Selected Count], MATCH(Recipes[[#This Row],[Name]], Items[Name], 0)) &gt; 0, ROW() - ROW(Recipes[#Headers]), ""), "")</f>
        <v/>
      </c>
      <c r="V263" t="str">
        <f>IFERROR(SMALL(Recipes[Selected], ROW() - ROW(Recipes[#Headers])), "")</f>
        <v/>
      </c>
      <c r="W263" t="str">
        <f>IFERROR(INDEX(Recipes[Name], Recipes[[#This Row],[Selected Sorted]]), "")</f>
        <v/>
      </c>
      <c r="X263" t="str">
        <f>IFERROR(INDEX(Recipes[Component], Recipes[[#This Row],[Selected Sorted]]), "")</f>
        <v/>
      </c>
      <c r="Y263" s="1" t="str">
        <f>IFERROR(INDEX(Recipes[Quantity], Recipes[[#This Row],[Selected Sorted]]), "")</f>
        <v/>
      </c>
      <c r="AA263" t="s">
        <v>165</v>
      </c>
      <c r="AB263" t="s">
        <v>107</v>
      </c>
      <c r="AC263">
        <v>1</v>
      </c>
      <c r="AD263" s="1" t="str">
        <f>IFERROR(IF(INDEX(Items[Selected Count], MATCH(Recipes2[[#This Row],[Name]], Items[Name], 0)) &gt; 0, ROW() - ROW(Recipes2[#Headers]), ""), "")</f>
        <v/>
      </c>
      <c r="AE263" s="1" t="str">
        <f>IFERROR(SMALL(Recipes2[Selected], ROW() - ROW(Recipes2[#Headers])), "")</f>
        <v/>
      </c>
      <c r="AF263" s="1" t="str">
        <f>IFERROR(INDEX(Recipes2[Name], Recipes2[[#This Row],[Selected Sorted]]), "")</f>
        <v/>
      </c>
      <c r="AG263" s="1" t="str">
        <f>IFERROR(INDEX(Recipes2[Component], Recipes2[[#This Row],[Selected Sorted]]), "")</f>
        <v/>
      </c>
      <c r="AH263" s="1" t="str">
        <f>IFERROR(INDEX(Recipes2[Quantity], Recipes2[[#This Row],[Selected Sorted]]), "")</f>
        <v/>
      </c>
    </row>
    <row r="264" spans="18:34" x14ac:dyDescent="0.25">
      <c r="R264" t="s">
        <v>131</v>
      </c>
      <c r="S264" t="s">
        <v>65</v>
      </c>
      <c r="T264">
        <v>20</v>
      </c>
      <c r="U264" s="1" t="str">
        <f>IFERROR(IF(INDEX(Items[Selected Count], MATCH(Recipes[[#This Row],[Name]], Items[Name], 0)) &gt; 0, ROW() - ROW(Recipes[#Headers]), ""), "")</f>
        <v/>
      </c>
      <c r="V264" s="1" t="str">
        <f>IFERROR(SMALL(Recipes[Selected], ROW() - ROW(Recipes[#Headers])), "")</f>
        <v/>
      </c>
      <c r="W264" s="1" t="str">
        <f>IFERROR(INDEX(Recipes[Name], Recipes[[#This Row],[Selected Sorted]]), "")</f>
        <v/>
      </c>
      <c r="X264" s="1" t="str">
        <f>IFERROR(INDEX(Recipes[Component], Recipes[[#This Row],[Selected Sorted]]), "")</f>
        <v/>
      </c>
      <c r="Y264" s="1" t="str">
        <f>IFERROR(INDEX(Recipes[Quantity], Recipes[[#This Row],[Selected Sorted]]), "")</f>
        <v/>
      </c>
      <c r="AA264" t="s">
        <v>166</v>
      </c>
      <c r="AB264" t="s">
        <v>107</v>
      </c>
      <c r="AC264">
        <v>1</v>
      </c>
      <c r="AD264" s="1" t="str">
        <f>IFERROR(IF(INDEX(Items[Selected Count], MATCH(Recipes2[[#This Row],[Name]], Items[Name], 0)) &gt; 0, ROW() - ROW(Recipes2[#Headers]), ""), "")</f>
        <v/>
      </c>
      <c r="AE264" s="1" t="str">
        <f>IFERROR(SMALL(Recipes2[Selected], ROW() - ROW(Recipes2[#Headers])), "")</f>
        <v/>
      </c>
      <c r="AF264" s="1" t="str">
        <f>IFERROR(INDEX(Recipes2[Name], Recipes2[[#This Row],[Selected Sorted]]), "")</f>
        <v/>
      </c>
      <c r="AG264" s="1" t="str">
        <f>IFERROR(INDEX(Recipes2[Component], Recipes2[[#This Row],[Selected Sorted]]), "")</f>
        <v/>
      </c>
      <c r="AH264" s="1" t="str">
        <f>IFERROR(INDEX(Recipes2[Quantity], Recipes2[[#This Row],[Selected Sorted]]), "")</f>
        <v/>
      </c>
    </row>
    <row r="265" spans="18:34" x14ac:dyDescent="0.25">
      <c r="R265" t="s">
        <v>0</v>
      </c>
      <c r="S265" t="s">
        <v>6</v>
      </c>
      <c r="T265">
        <v>5</v>
      </c>
      <c r="U265" t="str">
        <f>IFERROR(IF(INDEX(Items[Selected Count], MATCH(Recipes[[#This Row],[Name]], Items[Name], 0)) &gt; 0, ROW() - ROW(Recipes[#Headers]), ""), "")</f>
        <v/>
      </c>
      <c r="V265" t="str">
        <f>IFERROR(SMALL(Recipes[Selected], ROW() - ROW(Recipes[#Headers])), "")</f>
        <v/>
      </c>
      <c r="W265" t="str">
        <f>IFERROR(INDEX(Recipes[Name], Recipes[[#This Row],[Selected Sorted]]), "")</f>
        <v/>
      </c>
      <c r="X265" t="str">
        <f>IFERROR(INDEX(Recipes[Component], Recipes[[#This Row],[Selected Sorted]]), "")</f>
        <v/>
      </c>
      <c r="Y265" s="1" t="str">
        <f>IFERROR(INDEX(Recipes[Quantity], Recipes[[#This Row],[Selected Sorted]]), "")</f>
        <v/>
      </c>
      <c r="AA265" t="s">
        <v>121</v>
      </c>
      <c r="AB265" t="s">
        <v>35</v>
      </c>
      <c r="AC265">
        <v>10</v>
      </c>
      <c r="AD265" s="1" t="str">
        <f>IFERROR(IF(INDEX(Items[Selected Count], MATCH(Recipes2[[#This Row],[Name]], Items[Name], 0)) &gt; 0, ROW() - ROW(Recipes2[#Headers]), ""), "")</f>
        <v/>
      </c>
      <c r="AE265" s="1" t="str">
        <f>IFERROR(SMALL(Recipes2[Selected], ROW() - ROW(Recipes2[#Headers])), "")</f>
        <v/>
      </c>
      <c r="AF265" s="1" t="str">
        <f>IFERROR(INDEX(Recipes2[Name], Recipes2[[#This Row],[Selected Sorted]]), "")</f>
        <v/>
      </c>
      <c r="AG265" s="1" t="str">
        <f>IFERROR(INDEX(Recipes2[Component], Recipes2[[#This Row],[Selected Sorted]]), "")</f>
        <v/>
      </c>
      <c r="AH265" s="1" t="str">
        <f>IFERROR(INDEX(Recipes2[Quantity], Recipes2[[#This Row],[Selected Sorted]]), "")</f>
        <v/>
      </c>
    </row>
    <row r="266" spans="18:34" x14ac:dyDescent="0.25">
      <c r="R266" t="s">
        <v>0</v>
      </c>
      <c r="S266" t="s">
        <v>5</v>
      </c>
      <c r="T266">
        <v>5</v>
      </c>
      <c r="U266" t="str">
        <f>IFERROR(IF(INDEX(Items[Selected Count], MATCH(Recipes[[#This Row],[Name]], Items[Name], 0)) &gt; 0, ROW() - ROW(Recipes[#Headers]), ""), "")</f>
        <v/>
      </c>
      <c r="V266" t="str">
        <f>IFERROR(SMALL(Recipes[Selected], ROW() - ROW(Recipes[#Headers])), "")</f>
        <v/>
      </c>
      <c r="W266" t="str">
        <f>IFERROR(INDEX(Recipes[Name], Recipes[[#This Row],[Selected Sorted]]), "")</f>
        <v/>
      </c>
      <c r="X266" t="str">
        <f>IFERROR(INDEX(Recipes[Component], Recipes[[#This Row],[Selected Sorted]]), "")</f>
        <v/>
      </c>
      <c r="Y266" s="1" t="str">
        <f>IFERROR(INDEX(Recipes[Quantity], Recipes[[#This Row],[Selected Sorted]]), "")</f>
        <v/>
      </c>
      <c r="AA266" t="s">
        <v>40</v>
      </c>
      <c r="AB266" t="s">
        <v>35</v>
      </c>
      <c r="AC266">
        <v>5</v>
      </c>
      <c r="AD266" t="str">
        <f>IFERROR(IF(INDEX(Items[Selected Count], MATCH(Recipes2[[#This Row],[Name]], Items[Name], 0)) &gt; 0, ROW() - ROW(Recipes2[#Headers]), ""), "")</f>
        <v/>
      </c>
      <c r="AE266" t="str">
        <f>IFERROR(SMALL(Recipes2[Selected], ROW() - ROW(Recipes2[#Headers])), "")</f>
        <v/>
      </c>
      <c r="AF266" t="str">
        <f>IFERROR(INDEX(Recipes2[Name], Recipes2[[#This Row],[Selected Sorted]]), "")</f>
        <v/>
      </c>
      <c r="AG266" t="str">
        <f>IFERROR(INDEX(Recipes2[Component], Recipes2[[#This Row],[Selected Sorted]]), "")</f>
        <v/>
      </c>
      <c r="AH266" s="1" t="str">
        <f>IFERROR(INDEX(Recipes2[Quantity], Recipes2[[#This Row],[Selected Sorted]]), "")</f>
        <v/>
      </c>
    </row>
    <row r="267" spans="18:34" x14ac:dyDescent="0.25">
      <c r="R267" t="s">
        <v>114</v>
      </c>
      <c r="S267" t="s">
        <v>6</v>
      </c>
      <c r="T267">
        <v>5</v>
      </c>
      <c r="U267" s="1" t="str">
        <f>IFERROR(IF(INDEX(Items[Selected Count], MATCH(Recipes[[#This Row],[Name]], Items[Name], 0)) &gt; 0, ROW() - ROW(Recipes[#Headers]), ""), "")</f>
        <v/>
      </c>
      <c r="V267" s="1" t="str">
        <f>IFERROR(SMALL(Recipes[Selected], ROW() - ROW(Recipes[#Headers])), "")</f>
        <v/>
      </c>
      <c r="W267" s="1" t="str">
        <f>IFERROR(INDEX(Recipes[Name], Recipes[[#This Row],[Selected Sorted]]), "")</f>
        <v/>
      </c>
      <c r="X267" s="1" t="str">
        <f>IFERROR(INDEX(Recipes[Component], Recipes[[#This Row],[Selected Sorted]]), "")</f>
        <v/>
      </c>
      <c r="Y267" s="1" t="str">
        <f>IFERROR(INDEX(Recipes[Quantity], Recipes[[#This Row],[Selected Sorted]]), "")</f>
        <v/>
      </c>
      <c r="AA267" t="s">
        <v>161</v>
      </c>
      <c r="AB267" t="s">
        <v>35</v>
      </c>
      <c r="AC267">
        <v>5</v>
      </c>
      <c r="AD267" s="1" t="str">
        <f>IFERROR(IF(INDEX(Items[Selected Count], MATCH(Recipes2[[#This Row],[Name]], Items[Name], 0)) &gt; 0, ROW() - ROW(Recipes2[#Headers]), ""), "")</f>
        <v/>
      </c>
      <c r="AE267" s="1" t="str">
        <f>IFERROR(SMALL(Recipes2[Selected], ROW() - ROW(Recipes2[#Headers])), "")</f>
        <v/>
      </c>
      <c r="AF267" s="1" t="str">
        <f>IFERROR(INDEX(Recipes2[Name], Recipes2[[#This Row],[Selected Sorted]]), "")</f>
        <v/>
      </c>
      <c r="AG267" s="1" t="str">
        <f>IFERROR(INDEX(Recipes2[Component], Recipes2[[#This Row],[Selected Sorted]]), "")</f>
        <v/>
      </c>
      <c r="AH267" s="1" t="str">
        <f>IFERROR(INDEX(Recipes2[Quantity], Recipes2[[#This Row],[Selected Sorted]]), "")</f>
        <v/>
      </c>
    </row>
    <row r="268" spans="18:34" x14ac:dyDescent="0.25">
      <c r="R268" t="s">
        <v>114</v>
      </c>
      <c r="S268" t="s">
        <v>82</v>
      </c>
      <c r="T268">
        <v>5</v>
      </c>
      <c r="U268" s="1" t="str">
        <f>IFERROR(IF(INDEX(Items[Selected Count], MATCH(Recipes[[#This Row],[Name]], Items[Name], 0)) &gt; 0, ROW() - ROW(Recipes[#Headers]), ""), "")</f>
        <v/>
      </c>
      <c r="V268" s="1" t="str">
        <f>IFERROR(SMALL(Recipes[Selected], ROW() - ROW(Recipes[#Headers])), "")</f>
        <v/>
      </c>
      <c r="W268" s="1" t="str">
        <f>IFERROR(INDEX(Recipes[Name], Recipes[[#This Row],[Selected Sorted]]), "")</f>
        <v/>
      </c>
      <c r="X268" s="1" t="str">
        <f>IFERROR(INDEX(Recipes[Component], Recipes[[#This Row],[Selected Sorted]]), "")</f>
        <v/>
      </c>
      <c r="Y268" s="1" t="str">
        <f>IFERROR(INDEX(Recipes[Quantity], Recipes[[#This Row],[Selected Sorted]]), "")</f>
        <v/>
      </c>
      <c r="AA268" t="s">
        <v>159</v>
      </c>
      <c r="AB268" t="s">
        <v>35</v>
      </c>
      <c r="AC268">
        <v>20</v>
      </c>
      <c r="AD268" s="1" t="str">
        <f>IFERROR(IF(INDEX(Items[Selected Count], MATCH(Recipes2[[#This Row],[Name]], Items[Name], 0)) &gt; 0, ROW() - ROW(Recipes2[#Headers]), ""), "")</f>
        <v/>
      </c>
      <c r="AE268" s="1" t="str">
        <f>IFERROR(SMALL(Recipes2[Selected], ROW() - ROW(Recipes2[#Headers])), "")</f>
        <v/>
      </c>
      <c r="AF268" s="1" t="str">
        <f>IFERROR(INDEX(Recipes2[Name], Recipes2[[#This Row],[Selected Sorted]]), "")</f>
        <v/>
      </c>
      <c r="AG268" s="1" t="str">
        <f>IFERROR(INDEX(Recipes2[Component], Recipes2[[#This Row],[Selected Sorted]]), "")</f>
        <v/>
      </c>
      <c r="AH268" s="1" t="str">
        <f>IFERROR(INDEX(Recipes2[Quantity], Recipes2[[#This Row],[Selected Sorted]]), "")</f>
        <v/>
      </c>
    </row>
    <row r="269" spans="18:34" x14ac:dyDescent="0.25">
      <c r="R269" t="s">
        <v>114</v>
      </c>
      <c r="S269" t="s">
        <v>0</v>
      </c>
      <c r="T269">
        <v>4</v>
      </c>
      <c r="U269" s="1" t="str">
        <f>IFERROR(IF(INDEX(Items[Selected Count], MATCH(Recipes[[#This Row],[Name]], Items[Name], 0)) &gt; 0, ROW() - ROW(Recipes[#Headers]), ""), "")</f>
        <v/>
      </c>
      <c r="V269" s="1" t="str">
        <f>IFERROR(SMALL(Recipes[Selected], ROW() - ROW(Recipes[#Headers])), "")</f>
        <v/>
      </c>
      <c r="W269" s="1" t="str">
        <f>IFERROR(INDEX(Recipes[Name], Recipes[[#This Row],[Selected Sorted]]), "")</f>
        <v/>
      </c>
      <c r="X269" s="1" t="str">
        <f>IFERROR(INDEX(Recipes[Component], Recipes[[#This Row],[Selected Sorted]]), "")</f>
        <v/>
      </c>
      <c r="Y269" s="1" t="str">
        <f>IFERROR(INDEX(Recipes[Quantity], Recipes[[#This Row],[Selected Sorted]]), "")</f>
        <v/>
      </c>
      <c r="AA269" t="s">
        <v>149</v>
      </c>
      <c r="AB269" t="s">
        <v>35</v>
      </c>
      <c r="AC269">
        <v>50</v>
      </c>
      <c r="AD269" s="1" t="str">
        <f>IFERROR(IF(INDEX(Items[Selected Count], MATCH(Recipes2[[#This Row],[Name]], Items[Name], 0)) &gt; 0, ROW() - ROW(Recipes2[#Headers]), ""), "")</f>
        <v/>
      </c>
      <c r="AE269" s="1" t="str">
        <f>IFERROR(SMALL(Recipes2[Selected], ROW() - ROW(Recipes2[#Headers])), "")</f>
        <v/>
      </c>
      <c r="AF269" s="1" t="str">
        <f>IFERROR(INDEX(Recipes2[Name], Recipes2[[#This Row],[Selected Sorted]]), "")</f>
        <v/>
      </c>
      <c r="AG269" s="1" t="str">
        <f>IFERROR(INDEX(Recipes2[Component], Recipes2[[#This Row],[Selected Sorted]]), "")</f>
        <v/>
      </c>
      <c r="AH269" s="1" t="str">
        <f>IFERROR(INDEX(Recipes2[Quantity], Recipes2[[#This Row],[Selected Sorted]]), "")</f>
        <v/>
      </c>
    </row>
    <row r="270" spans="18:34" x14ac:dyDescent="0.25">
      <c r="R270" t="s">
        <v>115</v>
      </c>
      <c r="S270" t="s">
        <v>6</v>
      </c>
      <c r="T270">
        <v>5</v>
      </c>
      <c r="U270" s="1" t="str">
        <f>IFERROR(IF(INDEX(Items[Selected Count], MATCH(Recipes[[#This Row],[Name]], Items[Name], 0)) &gt; 0, ROW() - ROW(Recipes[#Headers]), ""), "")</f>
        <v/>
      </c>
      <c r="V270" s="1" t="str">
        <f>IFERROR(SMALL(Recipes[Selected], ROW() - ROW(Recipes[#Headers])), "")</f>
        <v/>
      </c>
      <c r="W270" s="1" t="str">
        <f>IFERROR(INDEX(Recipes[Name], Recipes[[#This Row],[Selected Sorted]]), "")</f>
        <v/>
      </c>
      <c r="X270" s="1" t="str">
        <f>IFERROR(INDEX(Recipes[Component], Recipes[[#This Row],[Selected Sorted]]), "")</f>
        <v/>
      </c>
      <c r="Y270" s="1" t="str">
        <f>IFERROR(INDEX(Recipes[Quantity], Recipes[[#This Row],[Selected Sorted]]), "")</f>
        <v/>
      </c>
      <c r="AA270" t="s">
        <v>60</v>
      </c>
      <c r="AB270" t="s">
        <v>35</v>
      </c>
      <c r="AC270">
        <v>5</v>
      </c>
      <c r="AD270" s="1" t="str">
        <f>IFERROR(IF(INDEX(Items[Selected Count], MATCH(Recipes2[[#This Row],[Name]], Items[Name], 0)) &gt; 0, ROW() - ROW(Recipes2[#Headers]), ""), "")</f>
        <v/>
      </c>
      <c r="AE270" s="1" t="str">
        <f>IFERROR(SMALL(Recipes2[Selected], ROW() - ROW(Recipes2[#Headers])), "")</f>
        <v/>
      </c>
      <c r="AF270" s="1" t="str">
        <f>IFERROR(INDEX(Recipes2[Name], Recipes2[[#This Row],[Selected Sorted]]), "")</f>
        <v/>
      </c>
      <c r="AG270" s="1" t="str">
        <f>IFERROR(INDEX(Recipes2[Component], Recipes2[[#This Row],[Selected Sorted]]), "")</f>
        <v/>
      </c>
      <c r="AH270" s="1" t="str">
        <f>IFERROR(INDEX(Recipes2[Quantity], Recipes2[[#This Row],[Selected Sorted]]), "")</f>
        <v/>
      </c>
    </row>
    <row r="271" spans="18:34" x14ac:dyDescent="0.25">
      <c r="R271" t="s">
        <v>115</v>
      </c>
      <c r="S271" t="s">
        <v>82</v>
      </c>
      <c r="T271">
        <v>5</v>
      </c>
      <c r="U271" s="1" t="str">
        <f>IFERROR(IF(INDEX(Items[Selected Count], MATCH(Recipes[[#This Row],[Name]], Items[Name], 0)) &gt; 0, ROW() - ROW(Recipes[#Headers]), ""), "")</f>
        <v/>
      </c>
      <c r="V271" s="1" t="str">
        <f>IFERROR(SMALL(Recipes[Selected], ROW() - ROW(Recipes[#Headers])), "")</f>
        <v/>
      </c>
      <c r="W271" s="1" t="str">
        <f>IFERROR(INDEX(Recipes[Name], Recipes[[#This Row],[Selected Sorted]]), "")</f>
        <v/>
      </c>
      <c r="X271" s="1" t="str">
        <f>IFERROR(INDEX(Recipes[Component], Recipes[[#This Row],[Selected Sorted]]), "")</f>
        <v/>
      </c>
      <c r="Y271" s="1" t="str">
        <f>IFERROR(INDEX(Recipes[Quantity], Recipes[[#This Row],[Selected Sorted]]), "")</f>
        <v/>
      </c>
      <c r="AA271" t="s">
        <v>80</v>
      </c>
      <c r="AB271" t="s">
        <v>35</v>
      </c>
      <c r="AC271">
        <v>10</v>
      </c>
      <c r="AD271" s="1" t="str">
        <f>IFERROR(IF(INDEX(Items[Selected Count], MATCH(Recipes2[[#This Row],[Name]], Items[Name], 0)) &gt; 0, ROW() - ROW(Recipes2[#Headers]), ""), "")</f>
        <v/>
      </c>
      <c r="AE271" s="1" t="str">
        <f>IFERROR(SMALL(Recipes2[Selected], ROW() - ROW(Recipes2[#Headers])), "")</f>
        <v/>
      </c>
      <c r="AF271" s="1" t="str">
        <f>IFERROR(INDEX(Recipes2[Name], Recipes2[[#This Row],[Selected Sorted]]), "")</f>
        <v/>
      </c>
      <c r="AG271" s="1" t="str">
        <f>IFERROR(INDEX(Recipes2[Component], Recipes2[[#This Row],[Selected Sorted]]), "")</f>
        <v/>
      </c>
      <c r="AH271" s="1" t="str">
        <f>IFERROR(INDEX(Recipes2[Quantity], Recipes2[[#This Row],[Selected Sorted]]), "")</f>
        <v/>
      </c>
    </row>
    <row r="272" spans="18:34" x14ac:dyDescent="0.25">
      <c r="R272" t="s">
        <v>115</v>
      </c>
      <c r="S272" t="s">
        <v>114</v>
      </c>
      <c r="T272">
        <v>4</v>
      </c>
      <c r="U272" s="1" t="str">
        <f>IFERROR(IF(INDEX(Items[Selected Count], MATCH(Recipes[[#This Row],[Name]], Items[Name], 0)) &gt; 0, ROW() - ROW(Recipes[#Headers]), ""), "")</f>
        <v/>
      </c>
      <c r="V272" s="1" t="str">
        <f>IFERROR(SMALL(Recipes[Selected], ROW() - ROW(Recipes[#Headers])), "")</f>
        <v/>
      </c>
      <c r="W272" s="1" t="str">
        <f>IFERROR(INDEX(Recipes[Name], Recipes[[#This Row],[Selected Sorted]]), "")</f>
        <v/>
      </c>
      <c r="X272" s="1" t="str">
        <f>IFERROR(INDEX(Recipes[Component], Recipes[[#This Row],[Selected Sorted]]), "")</f>
        <v/>
      </c>
      <c r="Y272" s="1" t="str">
        <f>IFERROR(INDEX(Recipes[Quantity], Recipes[[#This Row],[Selected Sorted]]), "")</f>
        <v/>
      </c>
      <c r="AA272" t="s">
        <v>53</v>
      </c>
      <c r="AB272" t="s">
        <v>35</v>
      </c>
      <c r="AC272">
        <v>1</v>
      </c>
      <c r="AD272" t="str">
        <f>IFERROR(IF(INDEX(Items[Selected Count], MATCH(Recipes2[[#This Row],[Name]], Items[Name], 0)) &gt; 0, ROW() - ROW(Recipes2[#Headers]), ""), "")</f>
        <v/>
      </c>
      <c r="AE272" t="str">
        <f>IFERROR(SMALL(Recipes2[Selected], ROW() - ROW(Recipes2[#Headers])), "")</f>
        <v/>
      </c>
      <c r="AF272" t="str">
        <f>IFERROR(INDEX(Recipes2[Name], Recipes2[[#This Row],[Selected Sorted]]), "")</f>
        <v/>
      </c>
      <c r="AG272" t="str">
        <f>IFERROR(INDEX(Recipes2[Component], Recipes2[[#This Row],[Selected Sorted]]), "")</f>
        <v/>
      </c>
      <c r="AH272" s="1" t="str">
        <f>IFERROR(INDEX(Recipes2[Quantity], Recipes2[[#This Row],[Selected Sorted]]), "")</f>
        <v/>
      </c>
    </row>
    <row r="273" spans="18:34" x14ac:dyDescent="0.25">
      <c r="R273" t="s">
        <v>30</v>
      </c>
      <c r="S273" t="s">
        <v>5</v>
      </c>
      <c r="T273">
        <v>5</v>
      </c>
      <c r="U273" t="str">
        <f>IFERROR(IF(INDEX(Items[Selected Count], MATCH(Recipes[[#This Row],[Name]], Items[Name], 0)) &gt; 0, ROW() - ROW(Recipes[#Headers]), ""), "")</f>
        <v/>
      </c>
      <c r="V273" t="str">
        <f>IFERROR(SMALL(Recipes[Selected], ROW() - ROW(Recipes[#Headers])), "")</f>
        <v/>
      </c>
      <c r="W273" t="str">
        <f>IFERROR(INDEX(Recipes[Name], Recipes[[#This Row],[Selected Sorted]]), "")</f>
        <v/>
      </c>
      <c r="X273" t="str">
        <f>IFERROR(INDEX(Recipes[Component], Recipes[[#This Row],[Selected Sorted]]), "")</f>
        <v/>
      </c>
      <c r="Y273" s="1" t="str">
        <f>IFERROR(INDEX(Recipes[Quantity], Recipes[[#This Row],[Selected Sorted]]), "")</f>
        <v/>
      </c>
      <c r="AA273" t="s">
        <v>160</v>
      </c>
      <c r="AB273" t="s">
        <v>35</v>
      </c>
      <c r="AC273">
        <v>16</v>
      </c>
      <c r="AD273" s="1" t="str">
        <f>IFERROR(IF(INDEX(Items[Selected Count], MATCH(Recipes2[[#This Row],[Name]], Items[Name], 0)) &gt; 0, ROW() - ROW(Recipes2[#Headers]), ""), "")</f>
        <v/>
      </c>
      <c r="AE273" s="1" t="str">
        <f>IFERROR(SMALL(Recipes2[Selected], ROW() - ROW(Recipes2[#Headers])), "")</f>
        <v/>
      </c>
      <c r="AF273" s="1" t="str">
        <f>IFERROR(INDEX(Recipes2[Name], Recipes2[[#This Row],[Selected Sorted]]), "")</f>
        <v/>
      </c>
      <c r="AG273" s="1" t="str">
        <f>IFERROR(INDEX(Recipes2[Component], Recipes2[[#This Row],[Selected Sorted]]), "")</f>
        <v/>
      </c>
      <c r="AH273" s="1" t="str">
        <f>IFERROR(INDEX(Recipes2[Quantity], Recipes2[[#This Row],[Selected Sorted]]), "")</f>
        <v/>
      </c>
    </row>
    <row r="274" spans="18:34" x14ac:dyDescent="0.25">
      <c r="R274" t="s">
        <v>30</v>
      </c>
      <c r="S274" t="s">
        <v>2</v>
      </c>
      <c r="T274">
        <v>5</v>
      </c>
      <c r="U274" t="str">
        <f>IFERROR(IF(INDEX(Items[Selected Count], MATCH(Recipes[[#This Row],[Name]], Items[Name], 0)) &gt; 0, ROW() - ROW(Recipes[#Headers]), ""), "")</f>
        <v/>
      </c>
      <c r="V274" t="str">
        <f>IFERROR(SMALL(Recipes[Selected], ROW() - ROW(Recipes[#Headers])), "")</f>
        <v/>
      </c>
      <c r="W274" t="str">
        <f>IFERROR(INDEX(Recipes[Name], Recipes[[#This Row],[Selected Sorted]]), "")</f>
        <v/>
      </c>
      <c r="X274" t="str">
        <f>IFERROR(INDEX(Recipes[Component], Recipes[[#This Row],[Selected Sorted]]), "")</f>
        <v/>
      </c>
      <c r="Y274" s="1" t="str">
        <f>IFERROR(INDEX(Recipes[Quantity], Recipes[[#This Row],[Selected Sorted]]), "")</f>
        <v/>
      </c>
      <c r="AA274" t="s">
        <v>55</v>
      </c>
      <c r="AB274" t="s">
        <v>35</v>
      </c>
      <c r="AC274">
        <v>1</v>
      </c>
      <c r="AD274" t="str">
        <f>IFERROR(IF(INDEX(Items[Selected Count], MATCH(Recipes2[[#This Row],[Name]], Items[Name], 0)) &gt; 0, ROW() - ROW(Recipes2[#Headers]), ""), "")</f>
        <v/>
      </c>
      <c r="AE274" t="str">
        <f>IFERROR(SMALL(Recipes2[Selected], ROW() - ROW(Recipes2[#Headers])), "")</f>
        <v/>
      </c>
      <c r="AF274" t="str">
        <f>IFERROR(INDEX(Recipes2[Name], Recipes2[[#This Row],[Selected Sorted]]), "")</f>
        <v/>
      </c>
      <c r="AG274" t="str">
        <f>IFERROR(INDEX(Recipes2[Component], Recipes2[[#This Row],[Selected Sorted]]), "")</f>
        <v/>
      </c>
      <c r="AH274" s="1" t="str">
        <f>IFERROR(INDEX(Recipes2[Quantity], Recipes2[[#This Row],[Selected Sorted]]), "")</f>
        <v/>
      </c>
    </row>
    <row r="275" spans="18:34" x14ac:dyDescent="0.25">
      <c r="R275" t="s">
        <v>30</v>
      </c>
      <c r="S275" t="s">
        <v>24</v>
      </c>
      <c r="T275">
        <v>4</v>
      </c>
      <c r="U275" t="str">
        <f>IFERROR(IF(INDEX(Items[Selected Count], MATCH(Recipes[[#This Row],[Name]], Items[Name], 0)) &gt; 0, ROW() - ROW(Recipes[#Headers]), ""), "")</f>
        <v/>
      </c>
      <c r="V275" t="str">
        <f>IFERROR(SMALL(Recipes[Selected], ROW() - ROW(Recipes[#Headers])), "")</f>
        <v/>
      </c>
      <c r="W275" t="str">
        <f>IFERROR(INDEX(Recipes[Name], Recipes[[#This Row],[Selected Sorted]]), "")</f>
        <v/>
      </c>
      <c r="X275" t="str">
        <f>IFERROR(INDEX(Recipes[Component], Recipes[[#This Row],[Selected Sorted]]), "")</f>
        <v/>
      </c>
      <c r="Y275" s="1" t="str">
        <f>IFERROR(INDEX(Recipes[Quantity], Recipes[[#This Row],[Selected Sorted]]), "")</f>
        <v/>
      </c>
      <c r="AA275" t="s">
        <v>147</v>
      </c>
      <c r="AB275" t="s">
        <v>35</v>
      </c>
      <c r="AC275">
        <v>10</v>
      </c>
      <c r="AD275" s="1" t="str">
        <f>IFERROR(IF(INDEX(Items[Selected Count], MATCH(Recipes2[[#This Row],[Name]], Items[Name], 0)) &gt; 0, ROW() - ROW(Recipes2[#Headers]), ""), "")</f>
        <v/>
      </c>
      <c r="AE275" s="1" t="str">
        <f>IFERROR(SMALL(Recipes2[Selected], ROW() - ROW(Recipes2[#Headers])), "")</f>
        <v/>
      </c>
      <c r="AF275" s="1" t="str">
        <f>IFERROR(INDEX(Recipes2[Name], Recipes2[[#This Row],[Selected Sorted]]), "")</f>
        <v/>
      </c>
      <c r="AG275" s="1" t="str">
        <f>IFERROR(INDEX(Recipes2[Component], Recipes2[[#This Row],[Selected Sorted]]), "")</f>
        <v/>
      </c>
      <c r="AH275" s="1" t="str">
        <f>IFERROR(INDEX(Recipes2[Quantity], Recipes2[[#This Row],[Selected Sorted]]), "")</f>
        <v/>
      </c>
    </row>
    <row r="276" spans="18:34" x14ac:dyDescent="0.25">
      <c r="R276" t="s">
        <v>47</v>
      </c>
      <c r="S276" t="s">
        <v>5</v>
      </c>
      <c r="T276">
        <v>5</v>
      </c>
      <c r="U276" t="str">
        <f>IFERROR(IF(INDEX(Items[Selected Count], MATCH(Recipes[[#This Row],[Name]], Items[Name], 0)) &gt; 0, ROW() - ROW(Recipes[#Headers]), ""), "")</f>
        <v/>
      </c>
      <c r="V276" t="str">
        <f>IFERROR(SMALL(Recipes[Selected], ROW() - ROW(Recipes[#Headers])), "")</f>
        <v/>
      </c>
      <c r="W276" t="str">
        <f>IFERROR(INDEX(Recipes[Name], Recipes[[#This Row],[Selected Sorted]]), "")</f>
        <v/>
      </c>
      <c r="X276" t="str">
        <f>IFERROR(INDEX(Recipes[Component], Recipes[[#This Row],[Selected Sorted]]), "")</f>
        <v/>
      </c>
      <c r="Y276" s="1" t="str">
        <f>IFERROR(INDEX(Recipes[Quantity], Recipes[[#This Row],[Selected Sorted]]), "")</f>
        <v/>
      </c>
      <c r="AA276" t="s">
        <v>148</v>
      </c>
      <c r="AB276" t="s">
        <v>35</v>
      </c>
      <c r="AC276">
        <v>10</v>
      </c>
      <c r="AD276" s="1" t="str">
        <f>IFERROR(IF(INDEX(Items[Selected Count], MATCH(Recipes2[[#This Row],[Name]], Items[Name], 0)) &gt; 0, ROW() - ROW(Recipes2[#Headers]), ""), "")</f>
        <v/>
      </c>
      <c r="AE276" s="1" t="str">
        <f>IFERROR(SMALL(Recipes2[Selected], ROW() - ROW(Recipes2[#Headers])), "")</f>
        <v/>
      </c>
      <c r="AF276" s="1" t="str">
        <f>IFERROR(INDEX(Recipes2[Name], Recipes2[[#This Row],[Selected Sorted]]), "")</f>
        <v/>
      </c>
      <c r="AG276" s="1" t="str">
        <f>IFERROR(INDEX(Recipes2[Component], Recipes2[[#This Row],[Selected Sorted]]), "")</f>
        <v/>
      </c>
      <c r="AH276" s="1" t="str">
        <f>IFERROR(INDEX(Recipes2[Quantity], Recipes2[[#This Row],[Selected Sorted]]), "")</f>
        <v/>
      </c>
    </row>
    <row r="277" spans="18:34" x14ac:dyDescent="0.25">
      <c r="R277" t="s">
        <v>47</v>
      </c>
      <c r="S277" t="s">
        <v>46</v>
      </c>
      <c r="T277">
        <v>1</v>
      </c>
      <c r="U277" t="str">
        <f>IFERROR(IF(INDEX(Items[Selected Count], MATCH(Recipes[[#This Row],[Name]], Items[Name], 0)) &gt; 0, ROW() - ROW(Recipes[#Headers]), ""), "")</f>
        <v/>
      </c>
      <c r="V277" t="str">
        <f>IFERROR(SMALL(Recipes[Selected], ROW() - ROW(Recipes[#Headers])), "")</f>
        <v/>
      </c>
      <c r="W277" t="str">
        <f>IFERROR(INDEX(Recipes[Name], Recipes[[#This Row],[Selected Sorted]]), "")</f>
        <v/>
      </c>
      <c r="X277" t="str">
        <f>IFERROR(INDEX(Recipes[Component], Recipes[[#This Row],[Selected Sorted]]), "")</f>
        <v/>
      </c>
      <c r="Y277" s="1" t="str">
        <f>IFERROR(INDEX(Recipes[Quantity], Recipes[[#This Row],[Selected Sorted]]), "")</f>
        <v/>
      </c>
      <c r="AA277" t="s">
        <v>111</v>
      </c>
      <c r="AB277" t="s">
        <v>35</v>
      </c>
      <c r="AC277">
        <v>20</v>
      </c>
      <c r="AD277" s="1" t="str">
        <f>IFERROR(IF(INDEX(Items[Selected Count], MATCH(Recipes2[[#This Row],[Name]], Items[Name], 0)) &gt; 0, ROW() - ROW(Recipes2[#Headers]), ""), "")</f>
        <v/>
      </c>
      <c r="AE277" s="1" t="str">
        <f>IFERROR(SMALL(Recipes2[Selected], ROW() - ROW(Recipes2[#Headers])), "")</f>
        <v/>
      </c>
      <c r="AF277" s="1" t="str">
        <f>IFERROR(INDEX(Recipes2[Name], Recipes2[[#This Row],[Selected Sorted]]), "")</f>
        <v/>
      </c>
      <c r="AG277" s="1" t="str">
        <f>IFERROR(INDEX(Recipes2[Component], Recipes2[[#This Row],[Selected Sorted]]), "")</f>
        <v/>
      </c>
      <c r="AH277" s="1" t="str">
        <f>IFERROR(INDEX(Recipes2[Quantity], Recipes2[[#This Row],[Selected Sorted]]), "")</f>
        <v/>
      </c>
    </row>
    <row r="278" spans="18:34" x14ac:dyDescent="0.25">
      <c r="R278" t="s">
        <v>46</v>
      </c>
      <c r="S278" t="s">
        <v>6</v>
      </c>
      <c r="T278">
        <v>1</v>
      </c>
      <c r="U278" t="str">
        <f>IFERROR(IF(INDEX(Items[Selected Count], MATCH(Recipes[[#This Row],[Name]], Items[Name], 0)) &gt; 0, ROW() - ROW(Recipes[#Headers]), ""), "")</f>
        <v/>
      </c>
      <c r="V278" t="str">
        <f>IFERROR(SMALL(Recipes[Selected], ROW() - ROW(Recipes[#Headers])), "")</f>
        <v/>
      </c>
      <c r="W278" t="str">
        <f>IFERROR(INDEX(Recipes[Name], Recipes[[#This Row],[Selected Sorted]]), "")</f>
        <v/>
      </c>
      <c r="X278" t="str">
        <f>IFERROR(INDEX(Recipes[Component], Recipes[[#This Row],[Selected Sorted]]), "")</f>
        <v/>
      </c>
      <c r="Y278" s="1" t="str">
        <f>IFERROR(INDEX(Recipes[Quantity], Recipes[[#This Row],[Selected Sorted]]), "")</f>
        <v/>
      </c>
      <c r="AA278" t="s">
        <v>158</v>
      </c>
      <c r="AB278" t="s">
        <v>35</v>
      </c>
      <c r="AC278">
        <v>30</v>
      </c>
      <c r="AD278" s="1" t="str">
        <f>IFERROR(IF(INDEX(Items[Selected Count], MATCH(Recipes2[[#This Row],[Name]], Items[Name], 0)) &gt; 0, ROW() - ROW(Recipes2[#Headers]), ""), "")</f>
        <v/>
      </c>
      <c r="AE278" s="1" t="str">
        <f>IFERROR(SMALL(Recipes2[Selected], ROW() - ROW(Recipes2[#Headers])), "")</f>
        <v/>
      </c>
      <c r="AF278" s="1" t="str">
        <f>IFERROR(INDEX(Recipes2[Name], Recipes2[[#This Row],[Selected Sorted]]), "")</f>
        <v/>
      </c>
      <c r="AG278" s="1" t="str">
        <f>IFERROR(INDEX(Recipes2[Component], Recipes2[[#This Row],[Selected Sorted]]), "")</f>
        <v/>
      </c>
      <c r="AH278" s="1" t="str">
        <f>IFERROR(INDEX(Recipes2[Quantity], Recipes2[[#This Row],[Selected Sorted]]), "")</f>
        <v/>
      </c>
    </row>
    <row r="279" spans="18:34" x14ac:dyDescent="0.25">
      <c r="R279" t="s">
        <v>46</v>
      </c>
      <c r="S279" t="s">
        <v>5</v>
      </c>
      <c r="T279">
        <v>15</v>
      </c>
      <c r="U279" t="str">
        <f>IFERROR(IF(INDEX(Items[Selected Count], MATCH(Recipes[[#This Row],[Name]], Items[Name], 0)) &gt; 0, ROW() - ROW(Recipes[#Headers]), ""), "")</f>
        <v/>
      </c>
      <c r="V279" t="str">
        <f>IFERROR(SMALL(Recipes[Selected], ROW() - ROW(Recipes[#Headers])), "")</f>
        <v/>
      </c>
      <c r="W279" t="str">
        <f>IFERROR(INDEX(Recipes[Name], Recipes[[#This Row],[Selected Sorted]]), "")</f>
        <v/>
      </c>
      <c r="X279" t="str">
        <f>IFERROR(INDEX(Recipes[Component], Recipes[[#This Row],[Selected Sorted]]), "")</f>
        <v/>
      </c>
      <c r="Y279" s="1" t="str">
        <f>IFERROR(INDEX(Recipes[Quantity], Recipes[[#This Row],[Selected Sorted]]), "")</f>
        <v/>
      </c>
      <c r="AA279" t="s">
        <v>129</v>
      </c>
      <c r="AB279" t="s">
        <v>35</v>
      </c>
      <c r="AC279">
        <v>10</v>
      </c>
      <c r="AD279" s="1" t="str">
        <f>IFERROR(IF(INDEX(Items[Selected Count], MATCH(Recipes2[[#This Row],[Name]], Items[Name], 0)) &gt; 0, ROW() - ROW(Recipes2[#Headers]), ""), "")</f>
        <v/>
      </c>
      <c r="AE279" s="1" t="str">
        <f>IFERROR(SMALL(Recipes2[Selected], ROW() - ROW(Recipes2[#Headers])), "")</f>
        <v/>
      </c>
      <c r="AF279" s="1" t="str">
        <f>IFERROR(INDEX(Recipes2[Name], Recipes2[[#This Row],[Selected Sorted]]), "")</f>
        <v/>
      </c>
      <c r="AG279" s="1" t="str">
        <f>IFERROR(INDEX(Recipes2[Component], Recipes2[[#This Row],[Selected Sorted]]), "")</f>
        <v/>
      </c>
      <c r="AH279" s="1" t="str">
        <f>IFERROR(INDEX(Recipes2[Quantity], Recipes2[[#This Row],[Selected Sorted]]), "")</f>
        <v/>
      </c>
    </row>
    <row r="280" spans="18:34" x14ac:dyDescent="0.25">
      <c r="R280" t="s">
        <v>46</v>
      </c>
      <c r="S280" t="s">
        <v>44</v>
      </c>
      <c r="T280">
        <v>1</v>
      </c>
      <c r="U280" t="str">
        <f>IFERROR(IF(INDEX(Items[Selected Count], MATCH(Recipes[[#This Row],[Name]], Items[Name], 0)) &gt; 0, ROW() - ROW(Recipes[#Headers]), ""), "")</f>
        <v/>
      </c>
      <c r="V280" t="str">
        <f>IFERROR(SMALL(Recipes[Selected], ROW() - ROW(Recipes[#Headers])), "")</f>
        <v/>
      </c>
      <c r="W280" t="str">
        <f>IFERROR(INDEX(Recipes[Name], Recipes[[#This Row],[Selected Sorted]]), "")</f>
        <v/>
      </c>
      <c r="X280" t="str">
        <f>IFERROR(INDEX(Recipes[Component], Recipes[[#This Row],[Selected Sorted]]), "")</f>
        <v/>
      </c>
      <c r="Y280" s="1" t="str">
        <f>IFERROR(INDEX(Recipes[Quantity], Recipes[[#This Row],[Selected Sorted]]), "")</f>
        <v/>
      </c>
      <c r="AA280" t="s">
        <v>39</v>
      </c>
      <c r="AB280" t="s">
        <v>35</v>
      </c>
      <c r="AC280">
        <v>2</v>
      </c>
      <c r="AD280" t="str">
        <f>IFERROR(IF(INDEX(Items[Selected Count], MATCH(Recipes2[[#This Row],[Name]], Items[Name], 0)) &gt; 0, ROW() - ROW(Recipes2[#Headers]), ""), "")</f>
        <v/>
      </c>
      <c r="AE280" t="str">
        <f>IFERROR(SMALL(Recipes2[Selected], ROW() - ROW(Recipes2[#Headers])), "")</f>
        <v/>
      </c>
      <c r="AF280" t="str">
        <f>IFERROR(INDEX(Recipes2[Name], Recipes2[[#This Row],[Selected Sorted]]), "")</f>
        <v/>
      </c>
      <c r="AG280" t="str">
        <f>IFERROR(INDEX(Recipes2[Component], Recipes2[[#This Row],[Selected Sorted]]), "")</f>
        <v/>
      </c>
      <c r="AH280" s="1" t="str">
        <f>IFERROR(INDEX(Recipes2[Quantity], Recipes2[[#This Row],[Selected Sorted]]), "")</f>
        <v/>
      </c>
    </row>
    <row r="281" spans="18:34" x14ac:dyDescent="0.25">
      <c r="R281" t="s">
        <v>46</v>
      </c>
      <c r="S281" t="s">
        <v>8</v>
      </c>
      <c r="T281">
        <v>15</v>
      </c>
      <c r="U281" t="str">
        <f>IFERROR(IF(INDEX(Items[Selected Count], MATCH(Recipes[[#This Row],[Name]], Items[Name], 0)) &gt; 0, ROW() - ROW(Recipes[#Headers]), ""), "")</f>
        <v/>
      </c>
      <c r="V281" t="str">
        <f>IFERROR(SMALL(Recipes[Selected], ROW() - ROW(Recipes[#Headers])), "")</f>
        <v/>
      </c>
      <c r="W281" t="str">
        <f>IFERROR(INDEX(Recipes[Name], Recipes[[#This Row],[Selected Sorted]]), "")</f>
        <v/>
      </c>
      <c r="X281" t="str">
        <f>IFERROR(INDEX(Recipes[Component], Recipes[[#This Row],[Selected Sorted]]), "")</f>
        <v/>
      </c>
      <c r="Y281" s="1" t="str">
        <f>IFERROR(INDEX(Recipes[Quantity], Recipes[[#This Row],[Selected Sorted]]), "")</f>
        <v/>
      </c>
      <c r="AA281" t="s">
        <v>145</v>
      </c>
      <c r="AB281" t="s">
        <v>35</v>
      </c>
      <c r="AC281">
        <v>500</v>
      </c>
      <c r="AD281" s="1" t="str">
        <f>IFERROR(IF(INDEX(Items[Selected Count], MATCH(Recipes2[[#This Row],[Name]], Items[Name], 0)) &gt; 0, ROW() - ROW(Recipes2[#Headers]), ""), "")</f>
        <v/>
      </c>
      <c r="AE281" s="1" t="str">
        <f>IFERROR(SMALL(Recipes2[Selected], ROW() - ROW(Recipes2[#Headers])), "")</f>
        <v/>
      </c>
      <c r="AF281" s="1" t="str">
        <f>IFERROR(INDEX(Recipes2[Name], Recipes2[[#This Row],[Selected Sorted]]), "")</f>
        <v/>
      </c>
      <c r="AG281" s="1" t="str">
        <f>IFERROR(INDEX(Recipes2[Component], Recipes2[[#This Row],[Selected Sorted]]), "")</f>
        <v/>
      </c>
      <c r="AH281" s="1" t="str">
        <f>IFERROR(INDEX(Recipes2[Quantity], Recipes2[[#This Row],[Selected Sorted]]), "")</f>
        <v/>
      </c>
    </row>
    <row r="282" spans="18:34" x14ac:dyDescent="0.25">
      <c r="R282" t="s">
        <v>22</v>
      </c>
      <c r="S282" t="s">
        <v>8</v>
      </c>
      <c r="T282">
        <v>5</v>
      </c>
      <c r="U282" t="str">
        <f>IFERROR(IF(INDEX(Items[Selected Count], MATCH(Recipes[[#This Row],[Name]], Items[Name], 0)) &gt; 0, ROW() - ROW(Recipes[#Headers]), ""), "")</f>
        <v/>
      </c>
      <c r="V282" t="str">
        <f>IFERROR(SMALL(Recipes[Selected], ROW() - ROW(Recipes[#Headers])), "")</f>
        <v/>
      </c>
      <c r="W282" t="str">
        <f>IFERROR(INDEX(Recipes[Name], Recipes[[#This Row],[Selected Sorted]]), "")</f>
        <v/>
      </c>
      <c r="X282" t="str">
        <f>IFERROR(INDEX(Recipes[Component], Recipes[[#This Row],[Selected Sorted]]), "")</f>
        <v/>
      </c>
      <c r="Y282" s="1" t="str">
        <f>IFERROR(INDEX(Recipes[Quantity], Recipes[[#This Row],[Selected Sorted]]), "")</f>
        <v/>
      </c>
      <c r="AA282" t="s">
        <v>66</v>
      </c>
      <c r="AB282" t="s">
        <v>35</v>
      </c>
      <c r="AC282">
        <v>15</v>
      </c>
      <c r="AD282" s="1" t="str">
        <f>IFERROR(IF(INDEX(Items[Selected Count], MATCH(Recipes2[[#This Row],[Name]], Items[Name], 0)) &gt; 0, ROW() - ROW(Recipes2[#Headers]), ""), "")</f>
        <v/>
      </c>
      <c r="AE282" s="1" t="str">
        <f>IFERROR(SMALL(Recipes2[Selected], ROW() - ROW(Recipes2[#Headers])), "")</f>
        <v/>
      </c>
      <c r="AF282" s="1" t="str">
        <f>IFERROR(INDEX(Recipes2[Name], Recipes2[[#This Row],[Selected Sorted]]), "")</f>
        <v/>
      </c>
      <c r="AG282" s="1" t="str">
        <f>IFERROR(INDEX(Recipes2[Component], Recipes2[[#This Row],[Selected Sorted]]), "")</f>
        <v/>
      </c>
      <c r="AH282" s="1" t="str">
        <f>IFERROR(INDEX(Recipes2[Quantity], Recipes2[[#This Row],[Selected Sorted]]), "")</f>
        <v/>
      </c>
    </row>
    <row r="283" spans="18:34" x14ac:dyDescent="0.25">
      <c r="R283" t="s">
        <v>22</v>
      </c>
      <c r="S283" t="s">
        <v>2</v>
      </c>
      <c r="T283">
        <v>5</v>
      </c>
      <c r="U283" t="str">
        <f>IFERROR(IF(INDEX(Items[Selected Count], MATCH(Recipes[[#This Row],[Name]], Items[Name], 0)) &gt; 0, ROW() - ROW(Recipes[#Headers]), ""), "")</f>
        <v/>
      </c>
      <c r="V283" t="str">
        <f>IFERROR(SMALL(Recipes[Selected], ROW() - ROW(Recipes[#Headers])), "")</f>
        <v/>
      </c>
      <c r="W283" t="str">
        <f>IFERROR(INDEX(Recipes[Name], Recipes[[#This Row],[Selected Sorted]]), "")</f>
        <v/>
      </c>
      <c r="X283" t="str">
        <f>IFERROR(INDEX(Recipes[Component], Recipes[[#This Row],[Selected Sorted]]), "")</f>
        <v/>
      </c>
      <c r="Y283" s="1" t="str">
        <f>IFERROR(INDEX(Recipes[Quantity], Recipes[[#This Row],[Selected Sorted]]), "")</f>
        <v/>
      </c>
      <c r="AA283" t="s">
        <v>34</v>
      </c>
      <c r="AB283" t="s">
        <v>35</v>
      </c>
      <c r="AC283">
        <v>1</v>
      </c>
      <c r="AD283" t="str">
        <f>IFERROR(IF(INDEX(Items[Selected Count], MATCH(Recipes2[[#This Row],[Name]], Items[Name], 0)) &gt; 0, ROW() - ROW(Recipes2[#Headers]), ""), "")</f>
        <v/>
      </c>
      <c r="AE283" t="str">
        <f>IFERROR(SMALL(Recipes2[Selected], ROW() - ROW(Recipes2[#Headers])), "")</f>
        <v/>
      </c>
      <c r="AF283" t="str">
        <f>IFERROR(INDEX(Recipes2[Name], Recipes2[[#This Row],[Selected Sorted]]), "")</f>
        <v/>
      </c>
      <c r="AG283" t="str">
        <f>IFERROR(INDEX(Recipes2[Component], Recipes2[[#This Row],[Selected Sorted]]), "")</f>
        <v/>
      </c>
      <c r="AH283" s="1" t="str">
        <f>IFERROR(INDEX(Recipes2[Quantity], Recipes2[[#This Row],[Selected Sorted]]), "")</f>
        <v/>
      </c>
    </row>
    <row r="284" spans="18:34" x14ac:dyDescent="0.25">
      <c r="R284" t="s">
        <v>22</v>
      </c>
      <c r="S284" t="s">
        <v>23</v>
      </c>
      <c r="T284">
        <v>5</v>
      </c>
      <c r="U284" t="str">
        <f>IFERROR(IF(INDEX(Items[Selected Count], MATCH(Recipes[[#This Row],[Name]], Items[Name], 0)) &gt; 0, ROW() - ROW(Recipes[#Headers]), ""), "")</f>
        <v/>
      </c>
      <c r="V284" t="str">
        <f>IFERROR(SMALL(Recipes[Selected], ROW() - ROW(Recipes[#Headers])), "")</f>
        <v/>
      </c>
      <c r="W284" t="str">
        <f>IFERROR(INDEX(Recipes[Name], Recipes[[#This Row],[Selected Sorted]]), "")</f>
        <v/>
      </c>
      <c r="X284" t="str">
        <f>IFERROR(INDEX(Recipes[Component], Recipes[[#This Row],[Selected Sorted]]), "")</f>
        <v/>
      </c>
      <c r="Y284" s="1" t="str">
        <f>IFERROR(INDEX(Recipes[Quantity], Recipes[[#This Row],[Selected Sorted]]), "")</f>
        <v/>
      </c>
      <c r="AA284" t="s">
        <v>125</v>
      </c>
      <c r="AB284" t="s">
        <v>35</v>
      </c>
      <c r="AC284">
        <v>3</v>
      </c>
      <c r="AD284" s="1" t="str">
        <f>IFERROR(IF(INDEX(Items[Selected Count], MATCH(Recipes2[[#This Row],[Name]], Items[Name], 0)) &gt; 0, ROW() - ROW(Recipes2[#Headers]), ""), "")</f>
        <v/>
      </c>
      <c r="AE284" s="1" t="str">
        <f>IFERROR(SMALL(Recipes2[Selected], ROW() - ROW(Recipes2[#Headers])), "")</f>
        <v/>
      </c>
      <c r="AF284" s="1" t="str">
        <f>IFERROR(INDEX(Recipes2[Name], Recipes2[[#This Row],[Selected Sorted]]), "")</f>
        <v/>
      </c>
      <c r="AG284" s="1" t="str">
        <f>IFERROR(INDEX(Recipes2[Component], Recipes2[[#This Row],[Selected Sorted]]), "")</f>
        <v/>
      </c>
      <c r="AH284" s="1" t="str">
        <f>IFERROR(INDEX(Recipes2[Quantity], Recipes2[[#This Row],[Selected Sorted]]), "")</f>
        <v/>
      </c>
    </row>
    <row r="285" spans="18:34" x14ac:dyDescent="0.25">
      <c r="R285" t="s">
        <v>144</v>
      </c>
      <c r="S285" t="s">
        <v>4</v>
      </c>
      <c r="T285">
        <v>50</v>
      </c>
      <c r="U285" s="1" t="str">
        <f>IFERROR(IF(INDEX(Items[Selected Count], MATCH(Recipes[[#This Row],[Name]], Items[Name], 0)) &gt; 0, ROW() - ROW(Recipes[#Headers]), ""), "")</f>
        <v/>
      </c>
      <c r="V285" s="1" t="str">
        <f>IFERROR(SMALL(Recipes[Selected], ROW() - ROW(Recipes[#Headers])), "")</f>
        <v/>
      </c>
      <c r="W285" s="1" t="str">
        <f>IFERROR(INDEX(Recipes[Name], Recipes[[#This Row],[Selected Sorted]]), "")</f>
        <v/>
      </c>
      <c r="X285" s="1" t="str">
        <f>IFERROR(INDEX(Recipes[Component], Recipes[[#This Row],[Selected Sorted]]), "")</f>
        <v/>
      </c>
      <c r="Y285" s="1" t="str">
        <f>IFERROR(INDEX(Recipes[Quantity], Recipes[[#This Row],[Selected Sorted]]), "")</f>
        <v/>
      </c>
      <c r="AA285" t="s">
        <v>153</v>
      </c>
      <c r="AB285" t="s">
        <v>35</v>
      </c>
      <c r="AC285">
        <v>1</v>
      </c>
      <c r="AD285" s="1" t="str">
        <f>IFERROR(IF(INDEX(Items[Selected Count], MATCH(Recipes2[[#This Row],[Name]], Items[Name], 0)) &gt; 0, ROW() - ROW(Recipes2[#Headers]), ""), "")</f>
        <v/>
      </c>
      <c r="AE285" s="1" t="str">
        <f>IFERROR(SMALL(Recipes2[Selected], ROW() - ROW(Recipes2[#Headers])), "")</f>
        <v/>
      </c>
      <c r="AF285" s="1" t="str">
        <f>IFERROR(INDEX(Recipes2[Name], Recipes2[[#This Row],[Selected Sorted]]), "")</f>
        <v/>
      </c>
      <c r="AG285" s="1" t="str">
        <f>IFERROR(INDEX(Recipes2[Component], Recipes2[[#This Row],[Selected Sorted]]), "")</f>
        <v/>
      </c>
      <c r="AH285" s="1" t="str">
        <f>IFERROR(INDEX(Recipes2[Quantity], Recipes2[[#This Row],[Selected Sorted]]), "")</f>
        <v/>
      </c>
    </row>
    <row r="286" spans="18:34" x14ac:dyDescent="0.25">
      <c r="R286" t="s">
        <v>144</v>
      </c>
      <c r="S286" t="s">
        <v>8</v>
      </c>
      <c r="T286">
        <v>50</v>
      </c>
      <c r="U286" s="1" t="str">
        <f>IFERROR(IF(INDEX(Items[Selected Count], MATCH(Recipes[[#This Row],[Name]], Items[Name], 0)) &gt; 0, ROW() - ROW(Recipes[#Headers]), ""), "")</f>
        <v/>
      </c>
      <c r="V286" s="1" t="str">
        <f>IFERROR(SMALL(Recipes[Selected], ROW() - ROW(Recipes[#Headers])), "")</f>
        <v/>
      </c>
      <c r="W286" s="1" t="str">
        <f>IFERROR(INDEX(Recipes[Name], Recipes[[#This Row],[Selected Sorted]]), "")</f>
        <v/>
      </c>
      <c r="X286" s="1" t="str">
        <f>IFERROR(INDEX(Recipes[Component], Recipes[[#This Row],[Selected Sorted]]), "")</f>
        <v/>
      </c>
      <c r="Y286" s="1" t="str">
        <f>IFERROR(INDEX(Recipes[Quantity], Recipes[[#This Row],[Selected Sorted]]), "")</f>
        <v/>
      </c>
      <c r="AA286" t="s">
        <v>79</v>
      </c>
      <c r="AB286" t="s">
        <v>35</v>
      </c>
      <c r="AC286">
        <v>5</v>
      </c>
      <c r="AD286" s="1" t="str">
        <f>IFERROR(IF(INDEX(Items[Selected Count], MATCH(Recipes2[[#This Row],[Name]], Items[Name], 0)) &gt; 0, ROW() - ROW(Recipes2[#Headers]), ""), "")</f>
        <v/>
      </c>
      <c r="AE286" s="1" t="str">
        <f>IFERROR(SMALL(Recipes2[Selected], ROW() - ROW(Recipes2[#Headers])), "")</f>
        <v/>
      </c>
      <c r="AF286" s="1" t="str">
        <f>IFERROR(INDEX(Recipes2[Name], Recipes2[[#This Row],[Selected Sorted]]), "")</f>
        <v/>
      </c>
      <c r="AG286" s="1" t="str">
        <f>IFERROR(INDEX(Recipes2[Component], Recipes2[[#This Row],[Selected Sorted]]), "")</f>
        <v/>
      </c>
      <c r="AH286" s="1" t="str">
        <f>IFERROR(INDEX(Recipes2[Quantity], Recipes2[[#This Row],[Selected Sorted]]), "")</f>
        <v/>
      </c>
    </row>
    <row r="287" spans="18:34" x14ac:dyDescent="0.25">
      <c r="R287" t="s">
        <v>144</v>
      </c>
      <c r="S287" t="s">
        <v>23</v>
      </c>
      <c r="T287">
        <v>20</v>
      </c>
      <c r="U287" s="1" t="str">
        <f>IFERROR(IF(INDEX(Items[Selected Count], MATCH(Recipes[[#This Row],[Name]], Items[Name], 0)) &gt; 0, ROW() - ROW(Recipes[#Headers]), ""), "")</f>
        <v/>
      </c>
      <c r="V287" s="1" t="str">
        <f>IFERROR(SMALL(Recipes[Selected], ROW() - ROW(Recipes[#Headers])), "")</f>
        <v/>
      </c>
      <c r="W287" s="1" t="str">
        <f>IFERROR(INDEX(Recipes[Name], Recipes[[#This Row],[Selected Sorted]]), "")</f>
        <v/>
      </c>
      <c r="X287" s="1" t="str">
        <f>IFERROR(INDEX(Recipes[Component], Recipes[[#This Row],[Selected Sorted]]), "")</f>
        <v/>
      </c>
      <c r="Y287" s="1" t="str">
        <f>IFERROR(INDEX(Recipes[Quantity], Recipes[[#This Row],[Selected Sorted]]), "")</f>
        <v/>
      </c>
      <c r="AA287" t="s">
        <v>120</v>
      </c>
      <c r="AB287" t="s">
        <v>35</v>
      </c>
      <c r="AC287">
        <v>45</v>
      </c>
      <c r="AD287" s="1" t="str">
        <f>IFERROR(IF(INDEX(Items[Selected Count], MATCH(Recipes2[[#This Row],[Name]], Items[Name], 0)) &gt; 0, ROW() - ROW(Recipes2[#Headers]), ""), "")</f>
        <v/>
      </c>
      <c r="AE287" s="1" t="str">
        <f>IFERROR(SMALL(Recipes2[Selected], ROW() - ROW(Recipes2[#Headers])), "")</f>
        <v/>
      </c>
      <c r="AF287" s="1" t="str">
        <f>IFERROR(INDEX(Recipes2[Name], Recipes2[[#This Row],[Selected Sorted]]), "")</f>
        <v/>
      </c>
      <c r="AG287" s="1" t="str">
        <f>IFERROR(INDEX(Recipes2[Component], Recipes2[[#This Row],[Selected Sorted]]), "")</f>
        <v/>
      </c>
      <c r="AH287" s="1" t="str">
        <f>IFERROR(INDEX(Recipes2[Quantity], Recipes2[[#This Row],[Selected Sorted]]), "")</f>
        <v/>
      </c>
    </row>
    <row r="288" spans="18:34" x14ac:dyDescent="0.25">
      <c r="R288" t="s">
        <v>141</v>
      </c>
      <c r="S288" t="s">
        <v>138</v>
      </c>
      <c r="T288">
        <v>2</v>
      </c>
      <c r="U288" s="1" t="str">
        <f>IFERROR(IF(INDEX(Items[Selected Count], MATCH(Recipes[[#This Row],[Name]], Items[Name], 0)) &gt; 0, ROW() - ROW(Recipes[#Headers]), ""), "")</f>
        <v/>
      </c>
      <c r="V288" s="1" t="str">
        <f>IFERROR(SMALL(Recipes[Selected], ROW() - ROW(Recipes[#Headers])), "")</f>
        <v/>
      </c>
      <c r="W288" s="1" t="str">
        <f>IFERROR(INDEX(Recipes[Name], Recipes[[#This Row],[Selected Sorted]]), "")</f>
        <v/>
      </c>
      <c r="X288" s="1" t="str">
        <f>IFERROR(INDEX(Recipes[Component], Recipes[[#This Row],[Selected Sorted]]), "")</f>
        <v/>
      </c>
      <c r="Y288" s="1" t="str">
        <f>IFERROR(INDEX(Recipes[Quantity], Recipes[[#This Row],[Selected Sorted]]), "")</f>
        <v/>
      </c>
      <c r="AA288" t="s">
        <v>126</v>
      </c>
      <c r="AB288" t="s">
        <v>35</v>
      </c>
      <c r="AC288">
        <v>2</v>
      </c>
      <c r="AD288" s="1" t="str">
        <f>IFERROR(IF(INDEX(Items[Selected Count], MATCH(Recipes2[[#This Row],[Name]], Items[Name], 0)) &gt; 0, ROW() - ROW(Recipes2[#Headers]), ""), "")</f>
        <v/>
      </c>
      <c r="AE288" s="1" t="str">
        <f>IFERROR(SMALL(Recipes2[Selected], ROW() - ROW(Recipes2[#Headers])), "")</f>
        <v/>
      </c>
      <c r="AF288" s="1" t="str">
        <f>IFERROR(INDEX(Recipes2[Name], Recipes2[[#This Row],[Selected Sorted]]), "")</f>
        <v/>
      </c>
      <c r="AG288" s="1" t="str">
        <f>IFERROR(INDEX(Recipes2[Component], Recipes2[[#This Row],[Selected Sorted]]), "")</f>
        <v/>
      </c>
      <c r="AH288" s="1" t="str">
        <f>IFERROR(INDEX(Recipes2[Quantity], Recipes2[[#This Row],[Selected Sorted]]), "")</f>
        <v/>
      </c>
    </row>
    <row r="289" spans="18:34" x14ac:dyDescent="0.25">
      <c r="R289" t="s">
        <v>141</v>
      </c>
      <c r="S289" t="s">
        <v>35</v>
      </c>
      <c r="T289">
        <v>5</v>
      </c>
      <c r="U289" s="1" t="str">
        <f>IFERROR(IF(INDEX(Items[Selected Count], MATCH(Recipes[[#This Row],[Name]], Items[Name], 0)) &gt; 0, ROW() - ROW(Recipes[#Headers]), ""), "")</f>
        <v/>
      </c>
      <c r="V289" s="1" t="str">
        <f>IFERROR(SMALL(Recipes[Selected], ROW() - ROW(Recipes[#Headers])), "")</f>
        <v/>
      </c>
      <c r="W289" s="1" t="str">
        <f>IFERROR(INDEX(Recipes[Name], Recipes[[#This Row],[Selected Sorted]]), "")</f>
        <v/>
      </c>
      <c r="X289" s="1" t="str">
        <f>IFERROR(INDEX(Recipes[Component], Recipes[[#This Row],[Selected Sorted]]), "")</f>
        <v/>
      </c>
      <c r="Y289" s="1" t="str">
        <f>IFERROR(INDEX(Recipes[Quantity], Recipes[[#This Row],[Selected Sorted]]), "")</f>
        <v/>
      </c>
      <c r="AA289" t="s">
        <v>67</v>
      </c>
      <c r="AB289" t="s">
        <v>35</v>
      </c>
      <c r="AC289">
        <v>5</v>
      </c>
      <c r="AD289" t="str">
        <f>IFERROR(IF(INDEX(Items[Selected Count], MATCH(Recipes2[[#This Row],[Name]], Items[Name], 0)) &gt; 0, ROW() - ROW(Recipes2[#Headers]), ""), "")</f>
        <v/>
      </c>
      <c r="AE289" t="str">
        <f>IFERROR(SMALL(Recipes2[Selected], ROW() - ROW(Recipes2[#Headers])), "")</f>
        <v/>
      </c>
      <c r="AF289" t="str">
        <f>IFERROR(INDEX(Recipes2[Name], Recipes2[[#This Row],[Selected Sorted]]), "")</f>
        <v/>
      </c>
      <c r="AG289" t="str">
        <f>IFERROR(INDEX(Recipes2[Component], Recipes2[[#This Row],[Selected Sorted]]), "")</f>
        <v/>
      </c>
      <c r="AH289" s="1" t="str">
        <f>IFERROR(INDEX(Recipes2[Quantity], Recipes2[[#This Row],[Selected Sorted]]), "")</f>
        <v/>
      </c>
    </row>
    <row r="290" spans="18:34" x14ac:dyDescent="0.25">
      <c r="R290" t="s">
        <v>107</v>
      </c>
      <c r="S290" t="s">
        <v>35</v>
      </c>
      <c r="T290">
        <v>8</v>
      </c>
      <c r="U290" s="1" t="str">
        <f>IFERROR(IF(INDEX(Items[Selected Count], MATCH(Recipes[[#This Row],[Name]], Items[Name], 0)) &gt; 0, ROW() - ROW(Recipes[#Headers]), ""), "")</f>
        <v/>
      </c>
      <c r="V290" s="1" t="str">
        <f>IFERROR(SMALL(Recipes[Selected], ROW() - ROW(Recipes[#Headers])), "")</f>
        <v/>
      </c>
      <c r="W290" s="1" t="str">
        <f>IFERROR(INDEX(Recipes[Name], Recipes[[#This Row],[Selected Sorted]]), "")</f>
        <v/>
      </c>
      <c r="X290" s="1" t="str">
        <f>IFERROR(INDEX(Recipes[Component], Recipes[[#This Row],[Selected Sorted]]), "")</f>
        <v/>
      </c>
      <c r="Y290" s="1" t="str">
        <f>IFERROR(INDEX(Recipes[Quantity], Recipes[[#This Row],[Selected Sorted]]), "")</f>
        <v/>
      </c>
      <c r="AA290" t="s">
        <v>141</v>
      </c>
      <c r="AB290" t="s">
        <v>35</v>
      </c>
      <c r="AC290">
        <v>5</v>
      </c>
      <c r="AD290" s="1" t="str">
        <f>IFERROR(IF(INDEX(Items[Selected Count], MATCH(Recipes2[[#This Row],[Name]], Items[Name], 0)) &gt; 0, ROW() - ROW(Recipes2[#Headers]), ""), "")</f>
        <v/>
      </c>
      <c r="AE290" s="1" t="str">
        <f>IFERROR(SMALL(Recipes2[Selected], ROW() - ROW(Recipes2[#Headers])), "")</f>
        <v/>
      </c>
      <c r="AF290" s="1" t="str">
        <f>IFERROR(INDEX(Recipes2[Name], Recipes2[[#This Row],[Selected Sorted]]), "")</f>
        <v/>
      </c>
      <c r="AG290" s="1" t="str">
        <f>IFERROR(INDEX(Recipes2[Component], Recipes2[[#This Row],[Selected Sorted]]), "")</f>
        <v/>
      </c>
      <c r="AH290" s="1" t="str">
        <f>IFERROR(INDEX(Recipes2[Quantity], Recipes2[[#This Row],[Selected Sorted]]), "")</f>
        <v/>
      </c>
    </row>
    <row r="291" spans="18:34" x14ac:dyDescent="0.25">
      <c r="R291" t="s">
        <v>99</v>
      </c>
      <c r="S291" t="s">
        <v>35</v>
      </c>
      <c r="T291">
        <v>6</v>
      </c>
      <c r="U291" s="1" t="str">
        <f>IFERROR(IF(INDEX(Items[Selected Count], MATCH(Recipes[[#This Row],[Name]], Items[Name], 0)) &gt; 0, ROW() - ROW(Recipes[#Headers]), ""), "")</f>
        <v/>
      </c>
      <c r="V291" s="1" t="str">
        <f>IFERROR(SMALL(Recipes[Selected], ROW() - ROW(Recipes[#Headers])), "")</f>
        <v/>
      </c>
      <c r="W291" s="1" t="str">
        <f>IFERROR(INDEX(Recipes[Name], Recipes[[#This Row],[Selected Sorted]]), "")</f>
        <v/>
      </c>
      <c r="X291" s="1" t="str">
        <f>IFERROR(INDEX(Recipes[Component], Recipes[[#This Row],[Selected Sorted]]), "")</f>
        <v/>
      </c>
      <c r="Y291" s="1" t="str">
        <f>IFERROR(INDEX(Recipes[Quantity], Recipes[[#This Row],[Selected Sorted]]), "")</f>
        <v/>
      </c>
      <c r="AA291" t="s">
        <v>107</v>
      </c>
      <c r="AB291" t="s">
        <v>35</v>
      </c>
      <c r="AC291">
        <v>8</v>
      </c>
      <c r="AD291" s="1" t="str">
        <f>IFERROR(IF(INDEX(Items[Selected Count], MATCH(Recipes2[[#This Row],[Name]], Items[Name], 0)) &gt; 0, ROW() - ROW(Recipes2[#Headers]), ""), "")</f>
        <v/>
      </c>
      <c r="AE291" s="1" t="str">
        <f>IFERROR(SMALL(Recipes2[Selected], ROW() - ROW(Recipes2[#Headers])), "")</f>
        <v/>
      </c>
      <c r="AF291" s="1" t="str">
        <f>IFERROR(INDEX(Recipes2[Name], Recipes2[[#This Row],[Selected Sorted]]), "")</f>
        <v/>
      </c>
      <c r="AG291" s="1" t="str">
        <f>IFERROR(INDEX(Recipes2[Component], Recipes2[[#This Row],[Selected Sorted]]), "")</f>
        <v/>
      </c>
      <c r="AH291" s="1" t="str">
        <f>IFERROR(INDEX(Recipes2[Quantity], Recipes2[[#This Row],[Selected Sorted]]), "")</f>
        <v/>
      </c>
    </row>
    <row r="292" spans="18:34" x14ac:dyDescent="0.25">
      <c r="R292" t="s">
        <v>99</v>
      </c>
      <c r="S292" t="s">
        <v>83</v>
      </c>
      <c r="T292">
        <v>10</v>
      </c>
      <c r="U292" s="1" t="str">
        <f>IFERROR(IF(INDEX(Items[Selected Count], MATCH(Recipes[[#This Row],[Name]], Items[Name], 0)) &gt; 0, ROW() - ROW(Recipes[#Headers]), ""), "")</f>
        <v/>
      </c>
      <c r="V292" s="1" t="str">
        <f>IFERROR(SMALL(Recipes[Selected], ROW() - ROW(Recipes[#Headers])), "")</f>
        <v/>
      </c>
      <c r="W292" s="1" t="str">
        <f>IFERROR(INDEX(Recipes[Name], Recipes[[#This Row],[Selected Sorted]]), "")</f>
        <v/>
      </c>
      <c r="X292" s="1" t="str">
        <f>IFERROR(INDEX(Recipes[Component], Recipes[[#This Row],[Selected Sorted]]), "")</f>
        <v/>
      </c>
      <c r="Y292" s="1" t="str">
        <f>IFERROR(INDEX(Recipes[Quantity], Recipes[[#This Row],[Selected Sorted]]), "")</f>
        <v/>
      </c>
      <c r="AA292" t="s">
        <v>99</v>
      </c>
      <c r="AB292" t="s">
        <v>35</v>
      </c>
      <c r="AC292">
        <v>6</v>
      </c>
      <c r="AD292" s="1" t="str">
        <f>IFERROR(IF(INDEX(Items[Selected Count], MATCH(Recipes2[[#This Row],[Name]], Items[Name], 0)) &gt; 0, ROW() - ROW(Recipes2[#Headers]), ""), "")</f>
        <v/>
      </c>
      <c r="AE292" s="1" t="str">
        <f>IFERROR(SMALL(Recipes2[Selected], ROW() - ROW(Recipes2[#Headers])), "")</f>
        <v/>
      </c>
      <c r="AF292" s="1" t="str">
        <f>IFERROR(INDEX(Recipes2[Name], Recipes2[[#This Row],[Selected Sorted]]), "")</f>
        <v/>
      </c>
      <c r="AG292" s="1" t="str">
        <f>IFERROR(INDEX(Recipes2[Component], Recipes2[[#This Row],[Selected Sorted]]), "")</f>
        <v/>
      </c>
      <c r="AH292" s="1" t="str">
        <f>IFERROR(INDEX(Recipes2[Quantity], Recipes2[[#This Row],[Selected Sorted]]), "")</f>
        <v/>
      </c>
    </row>
    <row r="293" spans="18:34" x14ac:dyDescent="0.25">
      <c r="R293" t="s">
        <v>35</v>
      </c>
      <c r="S293" t="s">
        <v>2</v>
      </c>
      <c r="T293">
        <v>5</v>
      </c>
      <c r="U293" s="1" t="str">
        <f>IFERROR(IF(INDEX(Items[Selected Count], MATCH(Recipes[[#This Row],[Name]], Items[Name], 0)) &gt; 0, ROW() - ROW(Recipes[#Headers]), ""), "")</f>
        <v/>
      </c>
      <c r="V293" s="1" t="str">
        <f>IFERROR(SMALL(Recipes[Selected], ROW() - ROW(Recipes[#Headers])), "")</f>
        <v/>
      </c>
      <c r="W293" s="1" t="str">
        <f>IFERROR(INDEX(Recipes[Name], Recipes[[#This Row],[Selected Sorted]]), "")</f>
        <v/>
      </c>
      <c r="X293" s="1" t="str">
        <f>IFERROR(INDEX(Recipes[Component], Recipes[[#This Row],[Selected Sorted]]), "")</f>
        <v/>
      </c>
      <c r="Y293" s="1" t="str">
        <f>IFERROR(INDEX(Recipes[Quantity], Recipes[[#This Row],[Selected Sorted]]), "")</f>
        <v/>
      </c>
      <c r="AA293" t="s">
        <v>108</v>
      </c>
      <c r="AB293" t="s">
        <v>35</v>
      </c>
      <c r="AC293">
        <v>5</v>
      </c>
      <c r="AD293" s="1" t="str">
        <f>IFERROR(IF(INDEX(Items[Selected Count], MATCH(Recipes2[[#This Row],[Name]], Items[Name], 0)) &gt; 0, ROW() - ROW(Recipes2[#Headers]), ""), "")</f>
        <v/>
      </c>
      <c r="AE293" s="1" t="str">
        <f>IFERROR(SMALL(Recipes2[Selected], ROW() - ROW(Recipes2[#Headers])), "")</f>
        <v/>
      </c>
      <c r="AF293" s="1" t="str">
        <f>IFERROR(INDEX(Recipes2[Name], Recipes2[[#This Row],[Selected Sorted]]), "")</f>
        <v/>
      </c>
      <c r="AG293" s="1" t="str">
        <f>IFERROR(INDEX(Recipes2[Component], Recipes2[[#This Row],[Selected Sorted]]), "")</f>
        <v/>
      </c>
      <c r="AH293" s="1" t="str">
        <f>IFERROR(INDEX(Recipes2[Quantity], Recipes2[[#This Row],[Selected Sorted]]), "")</f>
        <v/>
      </c>
    </row>
    <row r="294" spans="18:34" x14ac:dyDescent="0.25">
      <c r="R294" t="s">
        <v>83</v>
      </c>
      <c r="S294" t="s">
        <v>84</v>
      </c>
      <c r="T294">
        <v>2</v>
      </c>
      <c r="U294" s="1" t="str">
        <f>IFERROR(IF(INDEX(Items[Selected Count], MATCH(Recipes[[#This Row],[Name]], Items[Name], 0)) &gt; 0, ROW() - ROW(Recipes[#Headers]), ""), "")</f>
        <v/>
      </c>
      <c r="V294" s="1" t="str">
        <f>IFERROR(SMALL(Recipes[Selected], ROW() - ROW(Recipes[#Headers])), "")</f>
        <v/>
      </c>
      <c r="W294" s="1" t="str">
        <f>IFERROR(INDEX(Recipes[Name], Recipes[[#This Row],[Selected Sorted]]), "")</f>
        <v/>
      </c>
      <c r="X294" s="1" t="str">
        <f>IFERROR(INDEX(Recipes[Component], Recipes[[#This Row],[Selected Sorted]]), "")</f>
        <v/>
      </c>
      <c r="Y294" s="1" t="str">
        <f>IFERROR(INDEX(Recipes[Quantity], Recipes[[#This Row],[Selected Sorted]]), "")</f>
        <v/>
      </c>
      <c r="AA294" t="s">
        <v>154</v>
      </c>
      <c r="AB294" t="s">
        <v>35</v>
      </c>
      <c r="AC294">
        <v>1</v>
      </c>
      <c r="AD294" s="1" t="str">
        <f>IFERROR(IF(INDEX(Items[Selected Count], MATCH(Recipes2[[#This Row],[Name]], Items[Name], 0)) &gt; 0, ROW() - ROW(Recipes2[#Headers]), ""), "")</f>
        <v/>
      </c>
      <c r="AE294" s="1" t="str">
        <f>IFERROR(SMALL(Recipes2[Selected], ROW() - ROW(Recipes2[#Headers])), "")</f>
        <v/>
      </c>
      <c r="AF294" s="1" t="str">
        <f>IFERROR(INDEX(Recipes2[Name], Recipes2[[#This Row],[Selected Sorted]]), "")</f>
        <v/>
      </c>
      <c r="AG294" s="1" t="str">
        <f>IFERROR(INDEX(Recipes2[Component], Recipes2[[#This Row],[Selected Sorted]]), "")</f>
        <v/>
      </c>
      <c r="AH294" s="1" t="str">
        <f>IFERROR(INDEX(Recipes2[Quantity], Recipes2[[#This Row],[Selected Sorted]]), "")</f>
        <v/>
      </c>
    </row>
    <row r="295" spans="18:34" x14ac:dyDescent="0.25">
      <c r="R295" t="s">
        <v>98</v>
      </c>
      <c r="S295" t="s">
        <v>84</v>
      </c>
      <c r="T295">
        <v>5</v>
      </c>
      <c r="U295" s="1" t="str">
        <f>IFERROR(IF(INDEX(Items[Selected Count], MATCH(Recipes[[#This Row],[Name]], Items[Name], 0)) &gt; 0, ROW() - ROW(Recipes[#Headers]), ""), "")</f>
        <v/>
      </c>
      <c r="V295" s="1" t="str">
        <f>IFERROR(SMALL(Recipes[Selected], ROW() - ROW(Recipes[#Headers])), "")</f>
        <v/>
      </c>
      <c r="W295" s="1" t="str">
        <f>IFERROR(INDEX(Recipes[Name], Recipes[[#This Row],[Selected Sorted]]), "")</f>
        <v/>
      </c>
      <c r="X295" s="1" t="str">
        <f>IFERROR(INDEX(Recipes[Component], Recipes[[#This Row],[Selected Sorted]]), "")</f>
        <v/>
      </c>
      <c r="Y295" s="1" t="str">
        <f>IFERROR(INDEX(Recipes[Quantity], Recipes[[#This Row],[Selected Sorted]]), "")</f>
        <v/>
      </c>
      <c r="AA295" t="s">
        <v>41</v>
      </c>
      <c r="AB295" t="s">
        <v>35</v>
      </c>
      <c r="AC295">
        <v>10</v>
      </c>
      <c r="AD295" t="str">
        <f>IFERROR(IF(INDEX(Items[Selected Count], MATCH(Recipes2[[#This Row],[Name]], Items[Name], 0)) &gt; 0, ROW() - ROW(Recipes2[#Headers]), ""), "")</f>
        <v/>
      </c>
      <c r="AE295" t="str">
        <f>IFERROR(SMALL(Recipes2[Selected], ROW() - ROW(Recipes2[#Headers])), "")</f>
        <v/>
      </c>
      <c r="AF295" t="str">
        <f>IFERROR(INDEX(Recipes2[Name], Recipes2[[#This Row],[Selected Sorted]]), "")</f>
        <v/>
      </c>
      <c r="AG295" t="str">
        <f>IFERROR(INDEX(Recipes2[Component], Recipes2[[#This Row],[Selected Sorted]]), "")</f>
        <v/>
      </c>
      <c r="AH295" s="1" t="str">
        <f>IFERROR(INDEX(Recipes2[Quantity], Recipes2[[#This Row],[Selected Sorted]]), "")</f>
        <v/>
      </c>
    </row>
    <row r="296" spans="18:34" x14ac:dyDescent="0.25">
      <c r="R296" t="s">
        <v>166</v>
      </c>
      <c r="S296" t="s">
        <v>6</v>
      </c>
      <c r="T296">
        <v>1</v>
      </c>
      <c r="U296" s="1" t="str">
        <f>IFERROR(IF(INDEX(Items[Selected Count], MATCH(Recipes[[#This Row],[Name]], Items[Name], 0)) &gt; 0, ROW() - ROW(Recipes[#Headers]), ""), "")</f>
        <v/>
      </c>
      <c r="V296" s="1" t="str">
        <f>IFERROR(SMALL(Recipes[Selected], ROW() - ROW(Recipes[#Headers])), "")</f>
        <v/>
      </c>
      <c r="W296" s="1" t="str">
        <f>IFERROR(INDEX(Recipes[Name], Recipes[[#This Row],[Selected Sorted]]), "")</f>
        <v/>
      </c>
      <c r="X296" s="1" t="str">
        <f>IFERROR(INDEX(Recipes[Component], Recipes[[#This Row],[Selected Sorted]]), "")</f>
        <v/>
      </c>
      <c r="Y296" s="1" t="str">
        <f>IFERROR(INDEX(Recipes[Quantity], Recipes[[#This Row],[Selected Sorted]]), "")</f>
        <v/>
      </c>
      <c r="AA296" t="s">
        <v>162</v>
      </c>
      <c r="AB296" t="s">
        <v>35</v>
      </c>
      <c r="AC296">
        <v>50</v>
      </c>
      <c r="AD296" s="1" t="str">
        <f>IFERROR(IF(INDEX(Items[Selected Count], MATCH(Recipes2[[#This Row],[Name]], Items[Name], 0)) &gt; 0, ROW() - ROW(Recipes2[#Headers]), ""), "")</f>
        <v/>
      </c>
      <c r="AE296" s="1" t="str">
        <f>IFERROR(SMALL(Recipes2[Selected], ROW() - ROW(Recipes2[#Headers])), "")</f>
        <v/>
      </c>
      <c r="AF296" s="1" t="str">
        <f>IFERROR(INDEX(Recipes2[Name], Recipes2[[#This Row],[Selected Sorted]]), "")</f>
        <v/>
      </c>
      <c r="AG296" s="1" t="str">
        <f>IFERROR(INDEX(Recipes2[Component], Recipes2[[#This Row],[Selected Sorted]]), "")</f>
        <v/>
      </c>
      <c r="AH296" s="1" t="str">
        <f>IFERROR(INDEX(Recipes2[Quantity], Recipes2[[#This Row],[Selected Sorted]]), "")</f>
        <v/>
      </c>
    </row>
    <row r="297" spans="18:34" x14ac:dyDescent="0.25">
      <c r="R297" t="s">
        <v>166</v>
      </c>
      <c r="S297" t="s">
        <v>5</v>
      </c>
      <c r="T297">
        <v>3</v>
      </c>
      <c r="U297" s="1" t="str">
        <f>IFERROR(IF(INDEX(Items[Selected Count], MATCH(Recipes[[#This Row],[Name]], Items[Name], 0)) &gt; 0, ROW() - ROW(Recipes[#Headers]), ""), "")</f>
        <v/>
      </c>
      <c r="V297" s="1" t="str">
        <f>IFERROR(SMALL(Recipes[Selected], ROW() - ROW(Recipes[#Headers])), "")</f>
        <v/>
      </c>
      <c r="W297" s="1" t="str">
        <f>IFERROR(INDEX(Recipes[Name], Recipes[[#This Row],[Selected Sorted]]), "")</f>
        <v/>
      </c>
      <c r="X297" s="1" t="str">
        <f>IFERROR(INDEX(Recipes[Component], Recipes[[#This Row],[Selected Sorted]]), "")</f>
        <v/>
      </c>
      <c r="Y297" s="1" t="str">
        <f>IFERROR(INDEX(Recipes[Quantity], Recipes[[#This Row],[Selected Sorted]]), "")</f>
        <v/>
      </c>
      <c r="AA297" t="s">
        <v>155</v>
      </c>
      <c r="AB297" t="s">
        <v>35</v>
      </c>
      <c r="AC297">
        <v>3</v>
      </c>
      <c r="AD297" s="1" t="str">
        <f>IFERROR(IF(INDEX(Items[Selected Count], MATCH(Recipes2[[#This Row],[Name]], Items[Name], 0)) &gt; 0, ROW() - ROW(Recipes2[#Headers]), ""), "")</f>
        <v/>
      </c>
      <c r="AE297" s="1" t="str">
        <f>IFERROR(SMALL(Recipes2[Selected], ROW() - ROW(Recipes2[#Headers])), "")</f>
        <v/>
      </c>
      <c r="AF297" s="1" t="str">
        <f>IFERROR(INDEX(Recipes2[Name], Recipes2[[#This Row],[Selected Sorted]]), "")</f>
        <v/>
      </c>
      <c r="AG297" s="1" t="str">
        <f>IFERROR(INDEX(Recipes2[Component], Recipes2[[#This Row],[Selected Sorted]]), "")</f>
        <v/>
      </c>
      <c r="AH297" s="1" t="str">
        <f>IFERROR(INDEX(Recipes2[Quantity], Recipes2[[#This Row],[Selected Sorted]]), "")</f>
        <v/>
      </c>
    </row>
    <row r="298" spans="18:34" x14ac:dyDescent="0.25">
      <c r="R298" t="s">
        <v>166</v>
      </c>
      <c r="S298" t="s">
        <v>107</v>
      </c>
      <c r="T298">
        <v>1</v>
      </c>
      <c r="U298" s="1" t="str">
        <f>IFERROR(IF(INDEX(Items[Selected Count], MATCH(Recipes[[#This Row],[Name]], Items[Name], 0)) &gt; 0, ROW() - ROW(Recipes[#Headers]), ""), "")</f>
        <v/>
      </c>
      <c r="V298" s="1" t="str">
        <f>IFERROR(SMALL(Recipes[Selected], ROW() - ROW(Recipes[#Headers])), "")</f>
        <v/>
      </c>
      <c r="W298" s="1" t="str">
        <f>IFERROR(INDEX(Recipes[Name], Recipes[[#This Row],[Selected Sorted]]), "")</f>
        <v/>
      </c>
      <c r="X298" s="1" t="str">
        <f>IFERROR(INDEX(Recipes[Component], Recipes[[#This Row],[Selected Sorted]]), "")</f>
        <v/>
      </c>
      <c r="Y298" s="1" t="str">
        <f>IFERROR(INDEX(Recipes[Quantity], Recipes[[#This Row],[Selected Sorted]]), "")</f>
        <v/>
      </c>
      <c r="AA298" t="s">
        <v>168</v>
      </c>
      <c r="AB298" t="s">
        <v>84</v>
      </c>
      <c r="AC298">
        <v>20</v>
      </c>
      <c r="AD298" s="1" t="str">
        <f>IFERROR(IF(INDEX(Items[Selected Count], MATCH(Recipes2[[#This Row],[Name]], Items[Name], 0)) &gt; 0, ROW() - ROW(Recipes2[#Headers]), ""), "")</f>
        <v/>
      </c>
      <c r="AE298" s="1" t="str">
        <f>IFERROR(SMALL(Recipes2[Selected], ROW() - ROW(Recipes2[#Headers])), "")</f>
        <v/>
      </c>
      <c r="AF298" s="1" t="str">
        <f>IFERROR(INDEX(Recipes2[Name], Recipes2[[#This Row],[Selected Sorted]]), "")</f>
        <v/>
      </c>
      <c r="AG298" s="1" t="str">
        <f>IFERROR(INDEX(Recipes2[Component], Recipes2[[#This Row],[Selected Sorted]]), "")</f>
        <v/>
      </c>
      <c r="AH298" s="1" t="str">
        <f>IFERROR(INDEX(Recipes2[Quantity], Recipes2[[#This Row],[Selected Sorted]]), "")</f>
        <v/>
      </c>
    </row>
    <row r="299" spans="18:34" x14ac:dyDescent="0.25">
      <c r="R299" t="s">
        <v>108</v>
      </c>
      <c r="S299" t="s">
        <v>2</v>
      </c>
      <c r="T299">
        <v>20</v>
      </c>
      <c r="U299" s="1" t="str">
        <f>IFERROR(IF(INDEX(Items[Selected Count], MATCH(Recipes[[#This Row],[Name]], Items[Name], 0)) &gt; 0, ROW() - ROW(Recipes[#Headers]), ""), "")</f>
        <v/>
      </c>
      <c r="V299" s="1" t="str">
        <f>IFERROR(SMALL(Recipes[Selected], ROW() - ROW(Recipes[#Headers])), "")</f>
        <v/>
      </c>
      <c r="W299" s="1" t="str">
        <f>IFERROR(INDEX(Recipes[Name], Recipes[[#This Row],[Selected Sorted]]), "")</f>
        <v/>
      </c>
      <c r="X299" s="1" t="str">
        <f>IFERROR(INDEX(Recipes[Component], Recipes[[#This Row],[Selected Sorted]]), "")</f>
        <v/>
      </c>
      <c r="Y299" s="1" t="str">
        <f>IFERROR(INDEX(Recipes[Quantity], Recipes[[#This Row],[Selected Sorted]]), "")</f>
        <v/>
      </c>
      <c r="AA299" t="s">
        <v>83</v>
      </c>
      <c r="AB299" t="s">
        <v>84</v>
      </c>
      <c r="AC299">
        <v>2</v>
      </c>
      <c r="AD299" s="1" t="str">
        <f>IFERROR(IF(INDEX(Items[Selected Count], MATCH(Recipes2[[#This Row],[Name]], Items[Name], 0)) &gt; 0, ROW() - ROW(Recipes2[#Headers]), ""), "")</f>
        <v/>
      </c>
      <c r="AE299" s="1" t="str">
        <f>IFERROR(SMALL(Recipes2[Selected], ROW() - ROW(Recipes2[#Headers])), "")</f>
        <v/>
      </c>
      <c r="AF299" s="1" t="str">
        <f>IFERROR(INDEX(Recipes2[Name], Recipes2[[#This Row],[Selected Sorted]]), "")</f>
        <v/>
      </c>
      <c r="AG299" s="1" t="str">
        <f>IFERROR(INDEX(Recipes2[Component], Recipes2[[#This Row],[Selected Sorted]]), "")</f>
        <v/>
      </c>
      <c r="AH299" s="1" t="str">
        <f>IFERROR(INDEX(Recipes2[Quantity], Recipes2[[#This Row],[Selected Sorted]]), "")</f>
        <v/>
      </c>
    </row>
    <row r="300" spans="18:34" x14ac:dyDescent="0.25">
      <c r="R300" t="s">
        <v>108</v>
      </c>
      <c r="S300" t="s">
        <v>35</v>
      </c>
      <c r="T300">
        <v>5</v>
      </c>
      <c r="U300" s="1" t="str">
        <f>IFERROR(IF(INDEX(Items[Selected Count], MATCH(Recipes[[#This Row],[Name]], Items[Name], 0)) &gt; 0, ROW() - ROW(Recipes[#Headers]), ""), "")</f>
        <v/>
      </c>
      <c r="V300" s="1" t="str">
        <f>IFERROR(SMALL(Recipes[Selected], ROW() - ROW(Recipes[#Headers])), "")</f>
        <v/>
      </c>
      <c r="W300" s="1" t="str">
        <f>IFERROR(INDEX(Recipes[Name], Recipes[[#This Row],[Selected Sorted]]), "")</f>
        <v/>
      </c>
      <c r="X300" s="1" t="str">
        <f>IFERROR(INDEX(Recipes[Component], Recipes[[#This Row],[Selected Sorted]]), "")</f>
        <v/>
      </c>
      <c r="Y300" s="1" t="str">
        <f>IFERROR(INDEX(Recipes[Quantity], Recipes[[#This Row],[Selected Sorted]]), "")</f>
        <v/>
      </c>
      <c r="AA300" t="s">
        <v>98</v>
      </c>
      <c r="AB300" t="s">
        <v>84</v>
      </c>
      <c r="AC300">
        <v>5</v>
      </c>
      <c r="AD300" s="1" t="str">
        <f>IFERROR(IF(INDEX(Items[Selected Count], MATCH(Recipes2[[#This Row],[Name]], Items[Name], 0)) &gt; 0, ROW() - ROW(Recipes2[#Headers]), ""), "")</f>
        <v/>
      </c>
      <c r="AE300" s="1" t="str">
        <f>IFERROR(SMALL(Recipes2[Selected], ROW() - ROW(Recipes2[#Headers])), "")</f>
        <v/>
      </c>
      <c r="AF300" s="1" t="str">
        <f>IFERROR(INDEX(Recipes2[Name], Recipes2[[#This Row],[Selected Sorted]]), "")</f>
        <v/>
      </c>
      <c r="AG300" s="1" t="str">
        <f>IFERROR(INDEX(Recipes2[Component], Recipes2[[#This Row],[Selected Sorted]]), "")</f>
        <v/>
      </c>
      <c r="AH300" s="1" t="str">
        <f>IFERROR(INDEX(Recipes2[Quantity], Recipes2[[#This Row],[Selected Sorted]]), "")</f>
        <v/>
      </c>
    </row>
    <row r="301" spans="18:34" x14ac:dyDescent="0.25">
      <c r="R301" t="s">
        <v>154</v>
      </c>
      <c r="S301" t="s">
        <v>138</v>
      </c>
      <c r="T301">
        <v>1</v>
      </c>
      <c r="U301" s="1" t="str">
        <f>IFERROR(IF(INDEX(Items[Selected Count], MATCH(Recipes[[#This Row],[Name]], Items[Name], 0)) &gt; 0, ROW() - ROW(Recipes[#Headers]), ""), "")</f>
        <v/>
      </c>
      <c r="V301" s="1" t="str">
        <f>IFERROR(SMALL(Recipes[Selected], ROW() - ROW(Recipes[#Headers])), "")</f>
        <v/>
      </c>
      <c r="W301" s="1" t="str">
        <f>IFERROR(INDEX(Recipes[Name], Recipes[[#This Row],[Selected Sorted]]), "")</f>
        <v/>
      </c>
      <c r="X301" s="1" t="str">
        <f>IFERROR(INDEX(Recipes[Component], Recipes[[#This Row],[Selected Sorted]]), "")</f>
        <v/>
      </c>
      <c r="Y301" s="1" t="str">
        <f>IFERROR(INDEX(Recipes[Quantity], Recipes[[#This Row],[Selected Sorted]]), "")</f>
        <v/>
      </c>
      <c r="AA301" t="s">
        <v>154</v>
      </c>
      <c r="AB301" t="s">
        <v>84</v>
      </c>
      <c r="AC301">
        <v>1</v>
      </c>
      <c r="AD301" s="1" t="str">
        <f>IFERROR(IF(INDEX(Items[Selected Count], MATCH(Recipes2[[#This Row],[Name]], Items[Name], 0)) &gt; 0, ROW() - ROW(Recipes2[#Headers]), ""), "")</f>
        <v/>
      </c>
      <c r="AE301" s="1" t="str">
        <f>IFERROR(SMALL(Recipes2[Selected], ROW() - ROW(Recipes2[#Headers])), "")</f>
        <v/>
      </c>
      <c r="AF301" s="1" t="str">
        <f>IFERROR(INDEX(Recipes2[Name], Recipes2[[#This Row],[Selected Sorted]]), "")</f>
        <v/>
      </c>
      <c r="AG301" s="1" t="str">
        <f>IFERROR(INDEX(Recipes2[Component], Recipes2[[#This Row],[Selected Sorted]]), "")</f>
        <v/>
      </c>
      <c r="AH301" s="1" t="str">
        <f>IFERROR(INDEX(Recipes2[Quantity], Recipes2[[#This Row],[Selected Sorted]]), "")</f>
        <v/>
      </c>
    </row>
    <row r="302" spans="18:34" x14ac:dyDescent="0.25">
      <c r="R302" t="s">
        <v>154</v>
      </c>
      <c r="S302" t="s">
        <v>35</v>
      </c>
      <c r="T302">
        <v>1</v>
      </c>
      <c r="U302" s="1" t="str">
        <f>IFERROR(IF(INDEX(Items[Selected Count], MATCH(Recipes[[#This Row],[Name]], Items[Name], 0)) &gt; 0, ROW() - ROW(Recipes[#Headers]), ""), "")</f>
        <v/>
      </c>
      <c r="V302" s="1" t="str">
        <f>IFERROR(SMALL(Recipes[Selected], ROW() - ROW(Recipes[#Headers])), "")</f>
        <v/>
      </c>
      <c r="W302" s="1" t="str">
        <f>IFERROR(INDEX(Recipes[Name], Recipes[[#This Row],[Selected Sorted]]), "")</f>
        <v/>
      </c>
      <c r="X302" s="1" t="str">
        <f>IFERROR(INDEX(Recipes[Component], Recipes[[#This Row],[Selected Sorted]]), "")</f>
        <v/>
      </c>
      <c r="Y302" s="1" t="str">
        <f>IFERROR(INDEX(Recipes[Quantity], Recipes[[#This Row],[Selected Sorted]]), "")</f>
        <v/>
      </c>
      <c r="AA302" t="s">
        <v>146</v>
      </c>
      <c r="AB302" t="s">
        <v>83</v>
      </c>
      <c r="AC302">
        <v>5</v>
      </c>
      <c r="AD302" s="1" t="str">
        <f>IFERROR(IF(INDEX(Items[Selected Count], MATCH(Recipes2[[#This Row],[Name]], Items[Name], 0)) &gt; 0, ROW() - ROW(Recipes2[#Headers]), ""), "")</f>
        <v/>
      </c>
      <c r="AE302" s="1" t="str">
        <f>IFERROR(SMALL(Recipes2[Selected], ROW() - ROW(Recipes2[#Headers])), "")</f>
        <v/>
      </c>
      <c r="AF302" s="1" t="str">
        <f>IFERROR(INDEX(Recipes2[Name], Recipes2[[#This Row],[Selected Sorted]]), "")</f>
        <v/>
      </c>
      <c r="AG302" s="1" t="str">
        <f>IFERROR(INDEX(Recipes2[Component], Recipes2[[#This Row],[Selected Sorted]]), "")</f>
        <v/>
      </c>
      <c r="AH302" s="1" t="str">
        <f>IFERROR(INDEX(Recipes2[Quantity], Recipes2[[#This Row],[Selected Sorted]]), "")</f>
        <v/>
      </c>
    </row>
    <row r="303" spans="18:34" x14ac:dyDescent="0.25">
      <c r="R303" t="s">
        <v>154</v>
      </c>
      <c r="S303" t="s">
        <v>84</v>
      </c>
      <c r="T303">
        <v>1</v>
      </c>
      <c r="U303" s="1" t="str">
        <f>IFERROR(IF(INDEX(Items[Selected Count], MATCH(Recipes[[#This Row],[Name]], Items[Name], 0)) &gt; 0, ROW() - ROW(Recipes[#Headers]), ""), "")</f>
        <v/>
      </c>
      <c r="V303" s="1" t="str">
        <f>IFERROR(SMALL(Recipes[Selected], ROW() - ROW(Recipes[#Headers])), "")</f>
        <v/>
      </c>
      <c r="W303" s="1" t="str">
        <f>IFERROR(INDEX(Recipes[Name], Recipes[[#This Row],[Selected Sorted]]), "")</f>
        <v/>
      </c>
      <c r="X303" s="1" t="str">
        <f>IFERROR(INDEX(Recipes[Component], Recipes[[#This Row],[Selected Sorted]]), "")</f>
        <v/>
      </c>
      <c r="Y303" s="1" t="str">
        <f>IFERROR(INDEX(Recipes[Quantity], Recipes[[#This Row],[Selected Sorted]]), "")</f>
        <v/>
      </c>
      <c r="AA303" t="s">
        <v>80</v>
      </c>
      <c r="AB303" t="s">
        <v>83</v>
      </c>
      <c r="AC303">
        <v>10</v>
      </c>
      <c r="AD303" s="1" t="str">
        <f>IFERROR(IF(INDEX(Items[Selected Count], MATCH(Recipes2[[#This Row],[Name]], Items[Name], 0)) &gt; 0, ROW() - ROW(Recipes2[#Headers]), ""), "")</f>
        <v/>
      </c>
      <c r="AE303" s="1" t="str">
        <f>IFERROR(SMALL(Recipes2[Selected], ROW() - ROW(Recipes2[#Headers])), "")</f>
        <v/>
      </c>
      <c r="AF303" s="1" t="str">
        <f>IFERROR(INDEX(Recipes2[Name], Recipes2[[#This Row],[Selected Sorted]]), "")</f>
        <v/>
      </c>
      <c r="AG303" s="1" t="str">
        <f>IFERROR(INDEX(Recipes2[Component], Recipes2[[#This Row],[Selected Sorted]]), "")</f>
        <v/>
      </c>
      <c r="AH303" s="1" t="str">
        <f>IFERROR(INDEX(Recipes2[Quantity], Recipes2[[#This Row],[Selected Sorted]]), "")</f>
        <v/>
      </c>
    </row>
    <row r="304" spans="18:34" x14ac:dyDescent="0.25">
      <c r="R304" t="s">
        <v>41</v>
      </c>
      <c r="S304" t="s">
        <v>6</v>
      </c>
      <c r="T304">
        <v>5</v>
      </c>
      <c r="U304" t="str">
        <f>IFERROR(IF(INDEX(Items[Selected Count], MATCH(Recipes[[#This Row],[Name]], Items[Name], 0)) &gt; 0, ROW() - ROW(Recipes[#Headers]), ""), "")</f>
        <v/>
      </c>
      <c r="V304" t="str">
        <f>IFERROR(SMALL(Recipes[Selected], ROW() - ROW(Recipes[#Headers])), "")</f>
        <v/>
      </c>
      <c r="W304" t="str">
        <f>IFERROR(INDEX(Recipes[Name], Recipes[[#This Row],[Selected Sorted]]), "")</f>
        <v/>
      </c>
      <c r="X304" t="str">
        <f>IFERROR(INDEX(Recipes[Component], Recipes[[#This Row],[Selected Sorted]]), "")</f>
        <v/>
      </c>
      <c r="Y304" s="1" t="str">
        <f>IFERROR(INDEX(Recipes[Quantity], Recipes[[#This Row],[Selected Sorted]]), "")</f>
        <v/>
      </c>
      <c r="AA304" t="s">
        <v>66</v>
      </c>
      <c r="AB304" t="s">
        <v>83</v>
      </c>
      <c r="AC304">
        <v>10</v>
      </c>
      <c r="AD304" s="1" t="str">
        <f>IFERROR(IF(INDEX(Items[Selected Count], MATCH(Recipes2[[#This Row],[Name]], Items[Name], 0)) &gt; 0, ROW() - ROW(Recipes2[#Headers]), ""), "")</f>
        <v/>
      </c>
      <c r="AE304" s="1" t="str">
        <f>IFERROR(SMALL(Recipes2[Selected], ROW() - ROW(Recipes2[#Headers])), "")</f>
        <v/>
      </c>
      <c r="AF304" s="1" t="str">
        <f>IFERROR(INDEX(Recipes2[Name], Recipes2[[#This Row],[Selected Sorted]]), "")</f>
        <v/>
      </c>
      <c r="AG304" s="1" t="str">
        <f>IFERROR(INDEX(Recipes2[Component], Recipes2[[#This Row],[Selected Sorted]]), "")</f>
        <v/>
      </c>
      <c r="AH304" s="1" t="str">
        <f>IFERROR(INDEX(Recipes2[Quantity], Recipes2[[#This Row],[Selected Sorted]]), "")</f>
        <v/>
      </c>
    </row>
    <row r="305" spans="18:34" x14ac:dyDescent="0.25">
      <c r="R305" t="s">
        <v>41</v>
      </c>
      <c r="S305" t="s">
        <v>4</v>
      </c>
      <c r="T305">
        <v>5</v>
      </c>
      <c r="U305" t="str">
        <f>IFERROR(IF(INDEX(Items[Selected Count], MATCH(Recipes[[#This Row],[Name]], Items[Name], 0)) &gt; 0, ROW() - ROW(Recipes[#Headers]), ""), "")</f>
        <v/>
      </c>
      <c r="V305" t="str">
        <f>IFERROR(SMALL(Recipes[Selected], ROW() - ROW(Recipes[#Headers])), "")</f>
        <v/>
      </c>
      <c r="W305" t="str">
        <f>IFERROR(INDEX(Recipes[Name], Recipes[[#This Row],[Selected Sorted]]), "")</f>
        <v/>
      </c>
      <c r="X305" t="str">
        <f>IFERROR(INDEX(Recipes[Component], Recipes[[#This Row],[Selected Sorted]]), "")</f>
        <v/>
      </c>
      <c r="Y305" s="1" t="str">
        <f>IFERROR(INDEX(Recipes[Quantity], Recipes[[#This Row],[Selected Sorted]]), "")</f>
        <v/>
      </c>
      <c r="AA305" t="s">
        <v>99</v>
      </c>
      <c r="AB305" t="s">
        <v>83</v>
      </c>
      <c r="AC305">
        <v>10</v>
      </c>
      <c r="AD305" s="1" t="str">
        <f>IFERROR(IF(INDEX(Items[Selected Count], MATCH(Recipes2[[#This Row],[Name]], Items[Name], 0)) &gt; 0, ROW() - ROW(Recipes2[#Headers]), ""), "")</f>
        <v/>
      </c>
      <c r="AE305" s="1" t="str">
        <f>IFERROR(SMALL(Recipes2[Selected], ROW() - ROW(Recipes2[#Headers])), "")</f>
        <v/>
      </c>
      <c r="AF305" s="1" t="str">
        <f>IFERROR(INDEX(Recipes2[Name], Recipes2[[#This Row],[Selected Sorted]]), "")</f>
        <v/>
      </c>
      <c r="AG305" s="1" t="str">
        <f>IFERROR(INDEX(Recipes2[Component], Recipes2[[#This Row],[Selected Sorted]]), "")</f>
        <v/>
      </c>
      <c r="AH305" s="1" t="str">
        <f>IFERROR(INDEX(Recipes2[Quantity], Recipes2[[#This Row],[Selected Sorted]]), "")</f>
        <v/>
      </c>
    </row>
    <row r="306" spans="18:34" x14ac:dyDescent="0.25">
      <c r="R306" t="s">
        <v>41</v>
      </c>
      <c r="S306" t="s">
        <v>35</v>
      </c>
      <c r="T306">
        <v>10</v>
      </c>
      <c r="U306" t="str">
        <f>IFERROR(IF(INDEX(Items[Selected Count], MATCH(Recipes[[#This Row],[Name]], Items[Name], 0)) &gt; 0, ROW() - ROW(Recipes[#Headers]), ""), "")</f>
        <v/>
      </c>
      <c r="V306" t="str">
        <f>IFERROR(SMALL(Recipes[Selected], ROW() - ROW(Recipes[#Headers])), "")</f>
        <v/>
      </c>
      <c r="W306" t="str">
        <f>IFERROR(INDEX(Recipes[Name], Recipes[[#This Row],[Selected Sorted]]), "")</f>
        <v/>
      </c>
      <c r="X306" t="str">
        <f>IFERROR(INDEX(Recipes[Component], Recipes[[#This Row],[Selected Sorted]]), "")</f>
        <v/>
      </c>
      <c r="Y306" s="1" t="str">
        <f>IFERROR(INDEX(Recipes[Quantity], Recipes[[#This Row],[Selected Sorted]]), "")</f>
        <v/>
      </c>
      <c r="AA306" t="s">
        <v>143</v>
      </c>
      <c r="AB306" t="s">
        <v>98</v>
      </c>
      <c r="AC306">
        <v>1</v>
      </c>
      <c r="AD306" s="1" t="str">
        <f>IFERROR(IF(INDEX(Items[Selected Count], MATCH(Recipes2[[#This Row],[Name]], Items[Name], 0)) &gt; 0, ROW() - ROW(Recipes2[#Headers]), ""), "")</f>
        <v/>
      </c>
      <c r="AE306" s="1" t="str">
        <f>IFERROR(SMALL(Recipes2[Selected], ROW() - ROW(Recipes2[#Headers])), "")</f>
        <v/>
      </c>
      <c r="AF306" s="1" t="str">
        <f>IFERROR(INDEX(Recipes2[Name], Recipes2[[#This Row],[Selected Sorted]]), "")</f>
        <v/>
      </c>
      <c r="AG306" s="1" t="str">
        <f>IFERROR(INDEX(Recipes2[Component], Recipes2[[#This Row],[Selected Sorted]]), "")</f>
        <v/>
      </c>
      <c r="AH306" s="1" t="str">
        <f>IFERROR(INDEX(Recipes2[Quantity], Recipes2[[#This Row],[Selected Sorted]]), "")</f>
        <v/>
      </c>
    </row>
    <row r="307" spans="18:34" x14ac:dyDescent="0.25">
      <c r="R307" t="s">
        <v>64</v>
      </c>
      <c r="S307" t="s">
        <v>65</v>
      </c>
      <c r="T307">
        <v>30</v>
      </c>
      <c r="U307" t="str">
        <f>IFERROR(IF(INDEX(Items[Selected Count], MATCH(Recipes[[#This Row],[Name]], Items[Name], 0)) &gt; 0, ROW() - ROW(Recipes[#Headers]), ""), "")</f>
        <v/>
      </c>
      <c r="V307" t="str">
        <f>IFERROR(SMALL(Recipes[Selected], ROW() - ROW(Recipes[#Headers])), "")</f>
        <v/>
      </c>
      <c r="W307" t="str">
        <f>IFERROR(INDEX(Recipes[Name], Recipes[[#This Row],[Selected Sorted]]), "")</f>
        <v/>
      </c>
      <c r="X307" t="str">
        <f>IFERROR(INDEX(Recipes[Component], Recipes[[#This Row],[Selected Sorted]]), "")</f>
        <v/>
      </c>
      <c r="Y307" s="1" t="str">
        <f>IFERROR(INDEX(Recipes[Quantity], Recipes[[#This Row],[Selected Sorted]]), "")</f>
        <v/>
      </c>
      <c r="AA307" t="s">
        <v>101</v>
      </c>
      <c r="AB307" t="s">
        <v>98</v>
      </c>
      <c r="AC307">
        <v>1</v>
      </c>
      <c r="AD307" s="1" t="str">
        <f>IFERROR(IF(INDEX(Items[Selected Count], MATCH(Recipes2[[#This Row],[Name]], Items[Name], 0)) &gt; 0, ROW() - ROW(Recipes2[#Headers]), ""), "")</f>
        <v/>
      </c>
      <c r="AE307" s="1" t="str">
        <f>IFERROR(SMALL(Recipes2[Selected], ROW() - ROW(Recipes2[#Headers])), "")</f>
        <v/>
      </c>
      <c r="AF307" s="1" t="str">
        <f>IFERROR(INDEX(Recipes2[Name], Recipes2[[#This Row],[Selected Sorted]]), "")</f>
        <v/>
      </c>
      <c r="AG307" s="1" t="str">
        <f>IFERROR(INDEX(Recipes2[Component], Recipes2[[#This Row],[Selected Sorted]]), "")</f>
        <v/>
      </c>
      <c r="AH307" s="1" t="str">
        <f>IFERROR(INDEX(Recipes2[Quantity], Recipes2[[#This Row],[Selected Sorted]]), "")</f>
        <v/>
      </c>
    </row>
    <row r="308" spans="18:34" x14ac:dyDescent="0.25">
      <c r="R308" t="s">
        <v>64</v>
      </c>
      <c r="S308" t="s">
        <v>63</v>
      </c>
      <c r="T308">
        <v>30</v>
      </c>
      <c r="U308" t="str">
        <f>IFERROR(IF(INDEX(Items[Selected Count], MATCH(Recipes[[#This Row],[Name]], Items[Name], 0)) &gt; 0, ROW() - ROW(Recipes[#Headers]), ""), "")</f>
        <v/>
      </c>
      <c r="V308" t="str">
        <f>IFERROR(SMALL(Recipes[Selected], ROW() - ROW(Recipes[#Headers])), "")</f>
        <v/>
      </c>
      <c r="W308" t="str">
        <f>IFERROR(INDEX(Recipes[Name], Recipes[[#This Row],[Selected Sorted]]), "")</f>
        <v/>
      </c>
      <c r="X308" t="str">
        <f>IFERROR(INDEX(Recipes[Component], Recipes[[#This Row],[Selected Sorted]]), "")</f>
        <v/>
      </c>
      <c r="Y308" s="1" t="str">
        <f>IFERROR(INDEX(Recipes[Quantity], Recipes[[#This Row],[Selected Sorted]]), "")</f>
        <v/>
      </c>
      <c r="AA308" t="s">
        <v>160</v>
      </c>
      <c r="AB308" t="s">
        <v>108</v>
      </c>
      <c r="AC308">
        <v>3</v>
      </c>
      <c r="AD308" s="1" t="str">
        <f>IFERROR(IF(INDEX(Items[Selected Count], MATCH(Recipes2[[#This Row],[Name]], Items[Name], 0)) &gt; 0, ROW() - ROW(Recipes2[#Headers]), ""), "")</f>
        <v/>
      </c>
      <c r="AE308" s="1" t="str">
        <f>IFERROR(SMALL(Recipes2[Selected], ROW() - ROW(Recipes2[#Headers])), "")</f>
        <v/>
      </c>
      <c r="AF308" s="1" t="str">
        <f>IFERROR(INDEX(Recipes2[Name], Recipes2[[#This Row],[Selected Sorted]]), "")</f>
        <v/>
      </c>
      <c r="AG308" s="1" t="str">
        <f>IFERROR(INDEX(Recipes2[Component], Recipes2[[#This Row],[Selected Sorted]]), "")</f>
        <v/>
      </c>
      <c r="AH308" s="1" t="str">
        <f>IFERROR(INDEX(Recipes2[Quantity], Recipes2[[#This Row],[Selected Sorted]]), "")</f>
        <v/>
      </c>
    </row>
    <row r="309" spans="18:34" x14ac:dyDescent="0.25">
      <c r="R309" t="s">
        <v>62</v>
      </c>
      <c r="S309" t="s">
        <v>2</v>
      </c>
      <c r="T309">
        <v>1</v>
      </c>
      <c r="U309" t="str">
        <f>IFERROR(IF(INDEX(Items[Selected Count], MATCH(Recipes[[#This Row],[Name]], Items[Name], 0)) &gt; 0, ROW() - ROW(Recipes[#Headers]), ""), "")</f>
        <v/>
      </c>
      <c r="V309" t="str">
        <f>IFERROR(SMALL(Recipes[Selected], ROW() - ROW(Recipes[#Headers])), "")</f>
        <v/>
      </c>
      <c r="W309" t="str">
        <f>IFERROR(INDEX(Recipes[Name], Recipes[[#This Row],[Selected Sorted]]), "")</f>
        <v/>
      </c>
      <c r="X309" t="str">
        <f>IFERROR(INDEX(Recipes[Component], Recipes[[#This Row],[Selected Sorted]]), "")</f>
        <v/>
      </c>
      <c r="Y309" s="1" t="str">
        <f>IFERROR(INDEX(Recipes[Quantity], Recipes[[#This Row],[Selected Sorted]]), "")</f>
        <v/>
      </c>
      <c r="AA309" t="s">
        <v>139</v>
      </c>
      <c r="AB309" t="s">
        <v>64</v>
      </c>
      <c r="AC309">
        <v>1</v>
      </c>
      <c r="AD309" s="1" t="str">
        <f>IFERROR(IF(INDEX(Items[Selected Count], MATCH(Recipes2[[#This Row],[Name]], Items[Name], 0)) &gt; 0, ROW() - ROW(Recipes2[#Headers]), ""), "")</f>
        <v/>
      </c>
      <c r="AE309" s="1" t="str">
        <f>IFERROR(SMALL(Recipes2[Selected], ROW() - ROW(Recipes2[#Headers])), "")</f>
        <v/>
      </c>
      <c r="AF309" s="1" t="str">
        <f>IFERROR(INDEX(Recipes2[Name], Recipes2[[#This Row],[Selected Sorted]]), "")</f>
        <v/>
      </c>
      <c r="AG309" s="1" t="str">
        <f>IFERROR(INDEX(Recipes2[Component], Recipes2[[#This Row],[Selected Sorted]]), "")</f>
        <v/>
      </c>
      <c r="AH309" s="1" t="str">
        <f>IFERROR(INDEX(Recipes2[Quantity], Recipes2[[#This Row],[Selected Sorted]]), "")</f>
        <v/>
      </c>
    </row>
    <row r="310" spans="18:34" x14ac:dyDescent="0.25">
      <c r="R310" t="s">
        <v>62</v>
      </c>
      <c r="S310" t="s">
        <v>64</v>
      </c>
      <c r="T310">
        <v>5</v>
      </c>
      <c r="U310" t="str">
        <f>IFERROR(IF(INDEX(Items[Selected Count], MATCH(Recipes[[#This Row],[Name]], Items[Name], 0)) &gt; 0, ROW() - ROW(Recipes[#Headers]), ""), "")</f>
        <v/>
      </c>
      <c r="V310" t="str">
        <f>IFERROR(SMALL(Recipes[Selected], ROW() - ROW(Recipes[#Headers])), "")</f>
        <v/>
      </c>
      <c r="W310" t="str">
        <f>IFERROR(INDEX(Recipes[Name], Recipes[[#This Row],[Selected Sorted]]), "")</f>
        <v/>
      </c>
      <c r="X310" t="str">
        <f>IFERROR(INDEX(Recipes[Component], Recipes[[#This Row],[Selected Sorted]]), "")</f>
        <v/>
      </c>
      <c r="Y310" s="1" t="str">
        <f>IFERROR(INDEX(Recipes[Quantity], Recipes[[#This Row],[Selected Sorted]]), "")</f>
        <v/>
      </c>
      <c r="AA310" t="s">
        <v>62</v>
      </c>
      <c r="AB310" t="s">
        <v>64</v>
      </c>
      <c r="AC310">
        <v>5</v>
      </c>
      <c r="AD310" t="str">
        <f>IFERROR(IF(INDEX(Items[Selected Count], MATCH(Recipes2[[#This Row],[Name]], Items[Name], 0)) &gt; 0, ROW() - ROW(Recipes2[#Headers]), ""), "")</f>
        <v/>
      </c>
      <c r="AE310" t="str">
        <f>IFERROR(SMALL(Recipes2[Selected], ROW() - ROW(Recipes2[#Headers])), "")</f>
        <v/>
      </c>
      <c r="AF310" t="str">
        <f>IFERROR(INDEX(Recipes2[Name], Recipes2[[#This Row],[Selected Sorted]]), "")</f>
        <v/>
      </c>
      <c r="AG310" t="str">
        <f>IFERROR(INDEX(Recipes2[Component], Recipes2[[#This Row],[Selected Sorted]]), "")</f>
        <v/>
      </c>
      <c r="AH310" s="1" t="str">
        <f>IFERROR(INDEX(Recipes2[Quantity], Recipes2[[#This Row],[Selected Sorted]]), "")</f>
        <v/>
      </c>
    </row>
    <row r="311" spans="18:34" x14ac:dyDescent="0.25">
      <c r="R311" t="s">
        <v>62</v>
      </c>
      <c r="S311" t="s">
        <v>63</v>
      </c>
      <c r="T311">
        <v>10</v>
      </c>
      <c r="U311" t="str">
        <f>IFERROR(IF(INDEX(Items[Selected Count], MATCH(Recipes[[#This Row],[Name]], Items[Name], 0)) &gt; 0, ROW() - ROW(Recipes[#Headers]), ""), "")</f>
        <v/>
      </c>
      <c r="V311" t="str">
        <f>IFERROR(SMALL(Recipes[Selected], ROW() - ROW(Recipes[#Headers])), "")</f>
        <v/>
      </c>
      <c r="W311" t="str">
        <f>IFERROR(INDEX(Recipes[Name], Recipes[[#This Row],[Selected Sorted]]), "")</f>
        <v/>
      </c>
      <c r="X311" t="str">
        <f>IFERROR(INDEX(Recipes[Component], Recipes[[#This Row],[Selected Sorted]]), "")</f>
        <v/>
      </c>
      <c r="Y311" s="1" t="str">
        <f>IFERROR(INDEX(Recipes[Quantity], Recipes[[#This Row],[Selected Sorted]]), "")</f>
        <v/>
      </c>
      <c r="AA311" t="s">
        <v>52</v>
      </c>
      <c r="AB311" t="s">
        <v>62</v>
      </c>
      <c r="AC311">
        <v>20</v>
      </c>
      <c r="AD311" s="1" t="str">
        <f>IFERROR(IF(INDEX(Items[Selected Count], MATCH(Recipes2[[#This Row],[Name]], Items[Name], 0)) &gt; 0, ROW() - ROW(Recipes2[#Headers]), ""), "")</f>
        <v/>
      </c>
      <c r="AE311" s="1" t="str">
        <f>IFERROR(SMALL(Recipes2[Selected], ROW() - ROW(Recipes2[#Headers])), "")</f>
        <v/>
      </c>
      <c r="AF311" s="1" t="str">
        <f>IFERROR(INDEX(Recipes2[Name], Recipes2[[#This Row],[Selected Sorted]]), "")</f>
        <v/>
      </c>
      <c r="AG311" s="1" t="str">
        <f>IFERROR(INDEX(Recipes2[Component], Recipes2[[#This Row],[Selected Sorted]]), "")</f>
        <v/>
      </c>
      <c r="AH311" s="1" t="str">
        <f>IFERROR(INDEX(Recipes2[Quantity], Recipes2[[#This Row],[Selected Sorted]]), "")</f>
        <v/>
      </c>
    </row>
    <row r="312" spans="18:34" x14ac:dyDescent="0.25">
      <c r="R312" t="s">
        <v>162</v>
      </c>
      <c r="S312" t="s">
        <v>6</v>
      </c>
      <c r="T312">
        <v>10</v>
      </c>
      <c r="U312" s="1" t="str">
        <f>IFERROR(IF(INDEX(Items[Selected Count], MATCH(Recipes[[#This Row],[Name]], Items[Name], 0)) &gt; 0, ROW() - ROW(Recipes[#Headers]), ""), "")</f>
        <v/>
      </c>
      <c r="V312" s="1" t="str">
        <f>IFERROR(SMALL(Recipes[Selected], ROW() - ROW(Recipes[#Headers])), "")</f>
        <v/>
      </c>
      <c r="W312" s="1" t="str">
        <f>IFERROR(INDEX(Recipes[Name], Recipes[[#This Row],[Selected Sorted]]), "")</f>
        <v/>
      </c>
      <c r="X312" s="1" t="str">
        <f>IFERROR(INDEX(Recipes[Component], Recipes[[#This Row],[Selected Sorted]]), "")</f>
        <v/>
      </c>
      <c r="Y312" s="1" t="str">
        <f>IFERROR(INDEX(Recipes[Quantity], Recipes[[#This Row],[Selected Sorted]]), "")</f>
        <v/>
      </c>
      <c r="AA312" t="s">
        <v>82</v>
      </c>
      <c r="AB312" t="s">
        <v>62</v>
      </c>
      <c r="AC312">
        <v>5</v>
      </c>
      <c r="AD312" s="1" t="str">
        <f>IFERROR(IF(INDEX(Items[Selected Count], MATCH(Recipes2[[#This Row],[Name]], Items[Name], 0)) &gt; 0, ROW() - ROW(Recipes2[#Headers]), ""), "")</f>
        <v/>
      </c>
      <c r="AE312" s="1" t="str">
        <f>IFERROR(SMALL(Recipes2[Selected], ROW() - ROW(Recipes2[#Headers])), "")</f>
        <v/>
      </c>
      <c r="AF312" s="1" t="str">
        <f>IFERROR(INDEX(Recipes2[Name], Recipes2[[#This Row],[Selected Sorted]]), "")</f>
        <v/>
      </c>
      <c r="AG312" s="1" t="str">
        <f>IFERROR(INDEX(Recipes2[Component], Recipes2[[#This Row],[Selected Sorted]]), "")</f>
        <v/>
      </c>
      <c r="AH312" s="1" t="str">
        <f>IFERROR(INDEX(Recipes2[Quantity], Recipes2[[#This Row],[Selected Sorted]]), "")</f>
        <v/>
      </c>
    </row>
    <row r="313" spans="18:34" x14ac:dyDescent="0.25">
      <c r="R313" t="s">
        <v>162</v>
      </c>
      <c r="S313" t="s">
        <v>53</v>
      </c>
      <c r="T313">
        <v>32</v>
      </c>
      <c r="U313" s="1" t="str">
        <f>IFERROR(IF(INDEX(Items[Selected Count], MATCH(Recipes[[#This Row],[Name]], Items[Name], 0)) &gt; 0, ROW() - ROW(Recipes[#Headers]), ""), "")</f>
        <v/>
      </c>
      <c r="V313" s="1" t="str">
        <f>IFERROR(SMALL(Recipes[Selected], ROW() - ROW(Recipes[#Headers])), "")</f>
        <v/>
      </c>
      <c r="W313" s="1" t="str">
        <f>IFERROR(INDEX(Recipes[Name], Recipes[[#This Row],[Selected Sorted]]), "")</f>
        <v/>
      </c>
      <c r="X313" s="1" t="str">
        <f>IFERROR(INDEX(Recipes[Component], Recipes[[#This Row],[Selected Sorted]]), "")</f>
        <v/>
      </c>
      <c r="Y313" s="1" t="str">
        <f>IFERROR(INDEX(Recipes[Quantity], Recipes[[#This Row],[Selected Sorted]]), "")</f>
        <v/>
      </c>
      <c r="AA313" t="s">
        <v>25</v>
      </c>
      <c r="AB313" t="s">
        <v>24</v>
      </c>
      <c r="AC313">
        <v>1</v>
      </c>
      <c r="AD313" t="str">
        <f>IFERROR(IF(INDEX(Items[Selected Count], MATCH(Recipes2[[#This Row],[Name]], Items[Name], 0)) &gt; 0, ROW() - ROW(Recipes2[#Headers]), ""), "")</f>
        <v/>
      </c>
      <c r="AE313" t="str">
        <f>IFERROR(SMALL(Recipes2[Selected], ROW() - ROW(Recipes2[#Headers])), "")</f>
        <v/>
      </c>
      <c r="AF313" t="str">
        <f>IFERROR(INDEX(Recipes2[Name], Recipes2[[#This Row],[Selected Sorted]]), "")</f>
        <v/>
      </c>
      <c r="AG313" t="str">
        <f>IFERROR(INDEX(Recipes2[Component], Recipes2[[#This Row],[Selected Sorted]]), "")</f>
        <v/>
      </c>
      <c r="AH313" s="1" t="str">
        <f>IFERROR(INDEX(Recipes2[Quantity], Recipes2[[#This Row],[Selected Sorted]]), "")</f>
        <v/>
      </c>
    </row>
    <row r="314" spans="18:34" x14ac:dyDescent="0.25">
      <c r="R314" t="s">
        <v>162</v>
      </c>
      <c r="S314" t="s">
        <v>8</v>
      </c>
      <c r="T314">
        <v>15</v>
      </c>
      <c r="U314" s="1" t="str">
        <f>IFERROR(IF(INDEX(Items[Selected Count], MATCH(Recipes[[#This Row],[Name]], Items[Name], 0)) &gt; 0, ROW() - ROW(Recipes[#Headers]), ""), "")</f>
        <v/>
      </c>
      <c r="V314" s="1" t="str">
        <f>IFERROR(SMALL(Recipes[Selected], ROW() - ROW(Recipes[#Headers])), "")</f>
        <v/>
      </c>
      <c r="W314" s="1" t="str">
        <f>IFERROR(INDEX(Recipes[Name], Recipes[[#This Row],[Selected Sorted]]), "")</f>
        <v/>
      </c>
      <c r="X314" s="1" t="str">
        <f>IFERROR(INDEX(Recipes[Component], Recipes[[#This Row],[Selected Sorted]]), "")</f>
        <v/>
      </c>
      <c r="Y314" s="1" t="str">
        <f>IFERROR(INDEX(Recipes[Quantity], Recipes[[#This Row],[Selected Sorted]]), "")</f>
        <v/>
      </c>
      <c r="AA314" t="s">
        <v>150</v>
      </c>
      <c r="AB314" t="s">
        <v>24</v>
      </c>
      <c r="AC314">
        <v>4</v>
      </c>
      <c r="AD314" s="1" t="str">
        <f>IFERROR(IF(INDEX(Items[Selected Count], MATCH(Recipes2[[#This Row],[Name]], Items[Name], 0)) &gt; 0, ROW() - ROW(Recipes2[#Headers]), ""), "")</f>
        <v/>
      </c>
      <c r="AE314" s="1" t="str">
        <f>IFERROR(SMALL(Recipes2[Selected], ROW() - ROW(Recipes2[#Headers])), "")</f>
        <v/>
      </c>
      <c r="AF314" s="1" t="str">
        <f>IFERROR(INDEX(Recipes2[Name], Recipes2[[#This Row],[Selected Sorted]]), "")</f>
        <v/>
      </c>
      <c r="AG314" s="1" t="str">
        <f>IFERROR(INDEX(Recipes2[Component], Recipes2[[#This Row],[Selected Sorted]]), "")</f>
        <v/>
      </c>
      <c r="AH314" s="1" t="str">
        <f>IFERROR(INDEX(Recipes2[Quantity], Recipes2[[#This Row],[Selected Sorted]]), "")</f>
        <v/>
      </c>
    </row>
    <row r="315" spans="18:34" x14ac:dyDescent="0.25">
      <c r="R315" t="s">
        <v>162</v>
      </c>
      <c r="S315" t="s">
        <v>35</v>
      </c>
      <c r="T315">
        <v>50</v>
      </c>
      <c r="U315" s="1" t="str">
        <f>IFERROR(IF(INDEX(Items[Selected Count], MATCH(Recipes[[#This Row],[Name]], Items[Name], 0)) &gt; 0, ROW() - ROW(Recipes[#Headers]), ""), "")</f>
        <v/>
      </c>
      <c r="V315" s="1" t="str">
        <f>IFERROR(SMALL(Recipes[Selected], ROW() - ROW(Recipes[#Headers])), "")</f>
        <v/>
      </c>
      <c r="W315" s="1" t="str">
        <f>IFERROR(INDEX(Recipes[Name], Recipes[[#This Row],[Selected Sorted]]), "")</f>
        <v/>
      </c>
      <c r="X315" s="1" t="str">
        <f>IFERROR(INDEX(Recipes[Component], Recipes[[#This Row],[Selected Sorted]]), "")</f>
        <v/>
      </c>
      <c r="Y315" s="1" t="str">
        <f>IFERROR(INDEX(Recipes[Quantity], Recipes[[#This Row],[Selected Sorted]]), "")</f>
        <v/>
      </c>
      <c r="AA315" t="s">
        <v>49</v>
      </c>
      <c r="AB315" t="s">
        <v>24</v>
      </c>
      <c r="AC315">
        <v>1</v>
      </c>
      <c r="AD315" t="str">
        <f>IFERROR(IF(INDEX(Items[Selected Count], MATCH(Recipes2[[#This Row],[Name]], Items[Name], 0)) &gt; 0, ROW() - ROW(Recipes2[#Headers]), ""), "")</f>
        <v/>
      </c>
      <c r="AE315" t="str">
        <f>IFERROR(SMALL(Recipes2[Selected], ROW() - ROW(Recipes2[#Headers])), "")</f>
        <v/>
      </c>
      <c r="AF315" t="str">
        <f>IFERROR(INDEX(Recipes2[Name], Recipes2[[#This Row],[Selected Sorted]]), "")</f>
        <v/>
      </c>
      <c r="AG315" t="str">
        <f>IFERROR(INDEX(Recipes2[Component], Recipes2[[#This Row],[Selected Sorted]]), "")</f>
        <v/>
      </c>
      <c r="AH315" s="1" t="str">
        <f>IFERROR(INDEX(Recipes2[Quantity], Recipes2[[#This Row],[Selected Sorted]]), "")</f>
        <v/>
      </c>
    </row>
    <row r="316" spans="18:34" x14ac:dyDescent="0.25">
      <c r="R316" t="s">
        <v>155</v>
      </c>
      <c r="S316" t="s">
        <v>5</v>
      </c>
      <c r="T316">
        <v>5</v>
      </c>
      <c r="U316" s="1" t="str">
        <f>IFERROR(IF(INDEX(Items[Selected Count], MATCH(Recipes[[#This Row],[Name]], Items[Name], 0)) &gt; 0, ROW() - ROW(Recipes[#Headers]), ""), "")</f>
        <v/>
      </c>
      <c r="V316" s="1" t="str">
        <f>IFERROR(SMALL(Recipes[Selected], ROW() - ROW(Recipes[#Headers])), "")</f>
        <v/>
      </c>
      <c r="W316" s="1" t="str">
        <f>IFERROR(INDEX(Recipes[Name], Recipes[[#This Row],[Selected Sorted]]), "")</f>
        <v/>
      </c>
      <c r="X316" s="1" t="str">
        <f>IFERROR(INDEX(Recipes[Component], Recipes[[#This Row],[Selected Sorted]]), "")</f>
        <v/>
      </c>
      <c r="Y316" s="1" t="str">
        <f>IFERROR(INDEX(Recipes[Quantity], Recipes[[#This Row],[Selected Sorted]]), "")</f>
        <v/>
      </c>
      <c r="AA316" t="s">
        <v>30</v>
      </c>
      <c r="AB316" t="s">
        <v>24</v>
      </c>
      <c r="AC316">
        <v>4</v>
      </c>
      <c r="AD316" t="str">
        <f>IFERROR(IF(INDEX(Items[Selected Count], MATCH(Recipes2[[#This Row],[Name]], Items[Name], 0)) &gt; 0, ROW() - ROW(Recipes2[#Headers]), ""), "")</f>
        <v/>
      </c>
      <c r="AE316" t="str">
        <f>IFERROR(SMALL(Recipes2[Selected], ROW() - ROW(Recipes2[#Headers])), "")</f>
        <v/>
      </c>
      <c r="AF316" t="str">
        <f>IFERROR(INDEX(Recipes2[Name], Recipes2[[#This Row],[Selected Sorted]]), "")</f>
        <v/>
      </c>
      <c r="AG316" t="str">
        <f>IFERROR(INDEX(Recipes2[Component], Recipes2[[#This Row],[Selected Sorted]]), "")</f>
        <v/>
      </c>
      <c r="AH316" s="1" t="str">
        <f>IFERROR(INDEX(Recipes2[Quantity], Recipes2[[#This Row],[Selected Sorted]]), "")</f>
        <v/>
      </c>
    </row>
    <row r="317" spans="18:34" x14ac:dyDescent="0.25">
      <c r="R317" t="s">
        <v>155</v>
      </c>
      <c r="S317" t="s">
        <v>2</v>
      </c>
      <c r="T317">
        <v>10</v>
      </c>
      <c r="U317" s="1" t="str">
        <f>IFERROR(IF(INDEX(Items[Selected Count], MATCH(Recipes[[#This Row],[Name]], Items[Name], 0)) &gt; 0, ROW() - ROW(Recipes[#Headers]), ""), "")</f>
        <v/>
      </c>
      <c r="V317" s="1" t="str">
        <f>IFERROR(SMALL(Recipes[Selected], ROW() - ROW(Recipes[#Headers])), "")</f>
        <v/>
      </c>
      <c r="W317" s="1" t="str">
        <f>IFERROR(INDEX(Recipes[Name], Recipes[[#This Row],[Selected Sorted]]), "")</f>
        <v/>
      </c>
      <c r="X317" s="1" t="str">
        <f>IFERROR(INDEX(Recipes[Component], Recipes[[#This Row],[Selected Sorted]]), "")</f>
        <v/>
      </c>
      <c r="Y317" s="1" t="str">
        <f>IFERROR(INDEX(Recipes[Quantity], Recipes[[#This Row],[Selected Sorted]]), "")</f>
        <v/>
      </c>
      <c r="AA317" t="s">
        <v>27</v>
      </c>
      <c r="AB317" t="s">
        <v>24</v>
      </c>
      <c r="AC317">
        <v>5</v>
      </c>
      <c r="AD317" t="str">
        <f>IFERROR(IF(INDEX(Items[Selected Count], MATCH(Recipes2[[#This Row],[Name]], Items[Name], 0)) &gt; 0, ROW() - ROW(Recipes2[#Headers]), ""), "")</f>
        <v/>
      </c>
      <c r="AE317" t="str">
        <f>IFERROR(SMALL(Recipes2[Selected], ROW() - ROW(Recipes2[#Headers])), "")</f>
        <v/>
      </c>
      <c r="AF317" t="str">
        <f>IFERROR(INDEX(Recipes2[Name], Recipes2[[#This Row],[Selected Sorted]]), "")</f>
        <v/>
      </c>
      <c r="AG317" t="str">
        <f>IFERROR(INDEX(Recipes2[Component], Recipes2[[#This Row],[Selected Sorted]]), "")</f>
        <v/>
      </c>
      <c r="AH317" s="1" t="str">
        <f>IFERROR(INDEX(Recipes2[Quantity], Recipes2[[#This Row],[Selected Sorted]]), "")</f>
        <v/>
      </c>
    </row>
    <row r="318" spans="18:34" x14ac:dyDescent="0.25">
      <c r="R318" t="s">
        <v>155</v>
      </c>
      <c r="S318" t="s">
        <v>35</v>
      </c>
      <c r="T318">
        <v>3</v>
      </c>
      <c r="U318" s="1" t="str">
        <f>IFERROR(IF(INDEX(Items[Selected Count], MATCH(Recipes[[#This Row],[Name]], Items[Name], 0)) &gt; 0, ROW() - ROW(Recipes[#Headers]), ""), "")</f>
        <v/>
      </c>
      <c r="V318" s="1" t="str">
        <f>IFERROR(SMALL(Recipes[Selected], ROW() - ROW(Recipes[#Headers])), "")</f>
        <v/>
      </c>
      <c r="W318" s="1" t="str">
        <f>IFERROR(INDEX(Recipes[Name], Recipes[[#This Row],[Selected Sorted]]), "")</f>
        <v/>
      </c>
      <c r="X318" s="1" t="str">
        <f>IFERROR(INDEX(Recipes[Component], Recipes[[#This Row],[Selected Sorted]]), "")</f>
        <v/>
      </c>
      <c r="Y318" s="1" t="str">
        <f>IFERROR(INDEX(Recipes[Quantity], Recipes[[#This Row],[Selected Sorted]]), "")</f>
        <v/>
      </c>
      <c r="AA318" t="s">
        <v>28</v>
      </c>
      <c r="AB318" t="s">
        <v>27</v>
      </c>
      <c r="AC318">
        <v>2</v>
      </c>
      <c r="AD318" t="str">
        <f>IFERROR(IF(INDEX(Items[Selected Count], MATCH(Recipes2[[#This Row],[Name]], Items[Name], 0)) &gt; 0, ROW() - ROW(Recipes2[#Headers]), ""), "")</f>
        <v/>
      </c>
      <c r="AE318" t="str">
        <f>IFERROR(SMALL(Recipes2[Selected], ROW() - ROW(Recipes2[#Headers])), "")</f>
        <v/>
      </c>
      <c r="AF318" t="str">
        <f>IFERROR(INDEX(Recipes2[Name], Recipes2[[#This Row],[Selected Sorted]]), "")</f>
        <v/>
      </c>
      <c r="AG318" t="str">
        <f>IFERROR(INDEX(Recipes2[Component], Recipes2[[#This Row],[Selected Sorted]]), "")</f>
        <v/>
      </c>
      <c r="AH318" s="1" t="str">
        <f>IFERROR(INDEX(Recipes2[Quantity], Recipes2[[#This Row],[Selected Sorted]]), "")</f>
        <v/>
      </c>
    </row>
    <row r="319" spans="18:34" x14ac:dyDescent="0.25">
      <c r="R319" t="s">
        <v>24</v>
      </c>
      <c r="S319" t="s">
        <v>8</v>
      </c>
      <c r="T319">
        <v>1</v>
      </c>
      <c r="U319" t="str">
        <f>IFERROR(IF(INDEX(Items[Selected Count], MATCH(Recipes[[#This Row],[Name]], Items[Name], 0)) &gt; 0, ROW() - ROW(Recipes[#Headers]), ""), "")</f>
        <v/>
      </c>
      <c r="V319" t="str">
        <f>IFERROR(SMALL(Recipes[Selected], ROW() - ROW(Recipes[#Headers])), "")</f>
        <v/>
      </c>
      <c r="W319" t="str">
        <f>IFERROR(INDEX(Recipes[Name], Recipes[[#This Row],[Selected Sorted]]), "")</f>
        <v/>
      </c>
      <c r="X319" t="str">
        <f>IFERROR(INDEX(Recipes[Component], Recipes[[#This Row],[Selected Sorted]]), "")</f>
        <v/>
      </c>
      <c r="Y319" s="1" t="str">
        <f>IFERROR(INDEX(Recipes[Quantity], Recipes[[#This Row],[Selected Sorted]]), "")</f>
        <v/>
      </c>
      <c r="AA319" t="s">
        <v>146</v>
      </c>
      <c r="AB319" t="s">
        <v>63</v>
      </c>
      <c r="AC319">
        <v>100</v>
      </c>
      <c r="AD319" s="1" t="str">
        <f>IFERROR(IF(INDEX(Items[Selected Count], MATCH(Recipes2[[#This Row],[Name]], Items[Name], 0)) &gt; 0, ROW() - ROW(Recipes2[#Headers]), ""), "")</f>
        <v/>
      </c>
      <c r="AE319" s="1" t="str">
        <f>IFERROR(SMALL(Recipes2[Selected], ROW() - ROW(Recipes2[#Headers])), "")</f>
        <v/>
      </c>
      <c r="AF319" s="1" t="str">
        <f>IFERROR(INDEX(Recipes2[Name], Recipes2[[#This Row],[Selected Sorted]]), "")</f>
        <v/>
      </c>
      <c r="AG319" s="1" t="str">
        <f>IFERROR(INDEX(Recipes2[Component], Recipes2[[#This Row],[Selected Sorted]]), "")</f>
        <v/>
      </c>
      <c r="AH319" s="1" t="str">
        <f>IFERROR(INDEX(Recipes2[Quantity], Recipes2[[#This Row],[Selected Sorted]]), "")</f>
        <v/>
      </c>
    </row>
    <row r="320" spans="18:34" x14ac:dyDescent="0.25">
      <c r="R320" t="s">
        <v>24</v>
      </c>
      <c r="S320" t="s">
        <v>2</v>
      </c>
      <c r="T320">
        <v>1</v>
      </c>
      <c r="U320" t="str">
        <f>IFERROR(IF(INDEX(Items[Selected Count], MATCH(Recipes[[#This Row],[Name]], Items[Name], 0)) &gt; 0, ROW() - ROW(Recipes[#Headers]), ""), "")</f>
        <v/>
      </c>
      <c r="V320" t="str">
        <f>IFERROR(SMALL(Recipes[Selected], ROW() - ROW(Recipes[#Headers])), "")</f>
        <v/>
      </c>
      <c r="W320" t="str">
        <f>IFERROR(INDEX(Recipes[Name], Recipes[[#This Row],[Selected Sorted]]), "")</f>
        <v/>
      </c>
      <c r="X320" t="str">
        <f>IFERROR(INDEX(Recipes[Component], Recipes[[#This Row],[Selected Sorted]]), "")</f>
        <v/>
      </c>
      <c r="Y320" s="1" t="str">
        <f>IFERROR(INDEX(Recipes[Quantity], Recipes[[#This Row],[Selected Sorted]]), "")</f>
        <v/>
      </c>
      <c r="AA320" t="s">
        <v>139</v>
      </c>
      <c r="AB320" t="s">
        <v>63</v>
      </c>
      <c r="AC320">
        <v>10</v>
      </c>
      <c r="AD320" s="1" t="str">
        <f>IFERROR(IF(INDEX(Items[Selected Count], MATCH(Recipes2[[#This Row],[Name]], Items[Name], 0)) &gt; 0, ROW() - ROW(Recipes2[#Headers]), ""), "")</f>
        <v/>
      </c>
      <c r="AE320" s="1" t="str">
        <f>IFERROR(SMALL(Recipes2[Selected], ROW() - ROW(Recipes2[#Headers])), "")</f>
        <v/>
      </c>
      <c r="AF320" s="1" t="str">
        <f>IFERROR(INDEX(Recipes2[Name], Recipes2[[#This Row],[Selected Sorted]]), "")</f>
        <v/>
      </c>
      <c r="AG320" s="1" t="str">
        <f>IFERROR(INDEX(Recipes2[Component], Recipes2[[#This Row],[Selected Sorted]]), "")</f>
        <v/>
      </c>
      <c r="AH320" s="1" t="str">
        <f>IFERROR(INDEX(Recipes2[Quantity], Recipes2[[#This Row],[Selected Sorted]]), "")</f>
        <v/>
      </c>
    </row>
    <row r="321" spans="18:34" x14ac:dyDescent="0.25">
      <c r="R321" t="s">
        <v>27</v>
      </c>
      <c r="S321" t="s">
        <v>2</v>
      </c>
      <c r="T321">
        <v>10</v>
      </c>
      <c r="U321" t="str">
        <f>IFERROR(IF(INDEX(Items[Selected Count], MATCH(Recipes[[#This Row],[Name]], Items[Name], 0)) &gt; 0, ROW() - ROW(Recipes[#Headers]), ""), "")</f>
        <v/>
      </c>
      <c r="V321" t="str">
        <f>IFERROR(SMALL(Recipes[Selected], ROW() - ROW(Recipes[#Headers])), "")</f>
        <v/>
      </c>
      <c r="W321" t="str">
        <f>IFERROR(INDEX(Recipes[Name], Recipes[[#This Row],[Selected Sorted]]), "")</f>
        <v/>
      </c>
      <c r="X321" t="str">
        <f>IFERROR(INDEX(Recipes[Component], Recipes[[#This Row],[Selected Sorted]]), "")</f>
        <v/>
      </c>
      <c r="Y321" s="1" t="str">
        <f>IFERROR(INDEX(Recipes[Quantity], Recipes[[#This Row],[Selected Sorted]]), "")</f>
        <v/>
      </c>
      <c r="AA321" t="s">
        <v>64</v>
      </c>
      <c r="AB321" t="s">
        <v>63</v>
      </c>
      <c r="AC321">
        <v>30</v>
      </c>
      <c r="AD321" t="str">
        <f>IFERROR(IF(INDEX(Items[Selected Count], MATCH(Recipes2[[#This Row],[Name]], Items[Name], 0)) &gt; 0, ROW() - ROW(Recipes2[#Headers]), ""), "")</f>
        <v/>
      </c>
      <c r="AE321" t="str">
        <f>IFERROR(SMALL(Recipes2[Selected], ROW() - ROW(Recipes2[#Headers])), "")</f>
        <v/>
      </c>
      <c r="AF321" t="str">
        <f>IFERROR(INDEX(Recipes2[Name], Recipes2[[#This Row],[Selected Sorted]]), "")</f>
        <v/>
      </c>
      <c r="AG321" t="str">
        <f>IFERROR(INDEX(Recipes2[Component], Recipes2[[#This Row],[Selected Sorted]]), "")</f>
        <v/>
      </c>
      <c r="AH321" s="1" t="str">
        <f>IFERROR(INDEX(Recipes2[Quantity], Recipes2[[#This Row],[Selected Sorted]]), "")</f>
        <v/>
      </c>
    </row>
    <row r="322" spans="18:34" x14ac:dyDescent="0.25">
      <c r="R322" t="s">
        <v>27</v>
      </c>
      <c r="S322" t="s">
        <v>24</v>
      </c>
      <c r="T322">
        <v>5</v>
      </c>
      <c r="U322" t="str">
        <f>IFERROR(IF(INDEX(Items[Selected Count], MATCH(Recipes[[#This Row],[Name]], Items[Name], 0)) &gt; 0, ROW() - ROW(Recipes[#Headers]), ""), "")</f>
        <v/>
      </c>
      <c r="V322" t="str">
        <f>IFERROR(SMALL(Recipes[Selected], ROW() - ROW(Recipes[#Headers])), "")</f>
        <v/>
      </c>
      <c r="W322" t="str">
        <f>IFERROR(INDEX(Recipes[Name], Recipes[[#This Row],[Selected Sorted]]), "")</f>
        <v/>
      </c>
      <c r="X322" t="str">
        <f>IFERROR(INDEX(Recipes[Component], Recipes[[#This Row],[Selected Sorted]]), "")</f>
        <v/>
      </c>
      <c r="Y322" s="1" t="str">
        <f>IFERROR(INDEX(Recipes[Quantity], Recipes[[#This Row],[Selected Sorted]]), "")</f>
        <v/>
      </c>
      <c r="AA322" t="s">
        <v>62</v>
      </c>
      <c r="AB322" t="s">
        <v>63</v>
      </c>
      <c r="AC322">
        <v>10</v>
      </c>
      <c r="AD322" t="str">
        <f>IFERROR(IF(INDEX(Items[Selected Count], MATCH(Recipes2[[#This Row],[Name]], Items[Name], 0)) &gt; 0, ROW() - ROW(Recipes2[#Headers]), ""), "")</f>
        <v/>
      </c>
      <c r="AE322" t="str">
        <f>IFERROR(SMALL(Recipes2[Selected], ROW() - ROW(Recipes2[#Headers])), "")</f>
        <v/>
      </c>
      <c r="AF322" t="str">
        <f>IFERROR(INDEX(Recipes2[Name], Recipes2[[#This Row],[Selected Sorted]]), "")</f>
        <v/>
      </c>
      <c r="AG322" t="str">
        <f>IFERROR(INDEX(Recipes2[Component], Recipes2[[#This Row],[Selected Sorted]]), "")</f>
        <v/>
      </c>
      <c r="AH322" s="1" t="str">
        <f>IFERROR(INDEX(Recipes2[Quantity], Recipes2[[#This Row],[Selected Sorted]]), "")</f>
        <v/>
      </c>
    </row>
    <row r="323" spans="18:34" x14ac:dyDescent="0.25">
      <c r="R323" t="s">
        <v>104</v>
      </c>
      <c r="S323" t="s">
        <v>105</v>
      </c>
      <c r="T323">
        <v>1</v>
      </c>
      <c r="U323" s="1" t="str">
        <f>IFERROR(IF(INDEX(Items[Selected Count], MATCH(Recipes[[#This Row],[Name]], Items[Name], 0)) &gt; 0, ROW() - ROW(Recipes[#Headers]), ""), "")</f>
        <v/>
      </c>
      <c r="V323" s="1" t="str">
        <f>IFERROR(SMALL(Recipes[Selected], ROW() - ROW(Recipes[#Headers])), "")</f>
        <v/>
      </c>
      <c r="W323" s="1" t="str">
        <f>IFERROR(INDEX(Recipes[Name], Recipes[[#This Row],[Selected Sorted]]), "")</f>
        <v/>
      </c>
      <c r="X323" s="1" t="str">
        <f>IFERROR(INDEX(Recipes[Component], Recipes[[#This Row],[Selected Sorted]]), "")</f>
        <v/>
      </c>
      <c r="Y323" s="1" t="str">
        <f>IFERROR(INDEX(Recipes[Quantity], Recipes[[#This Row],[Selected Sorted]]), "")</f>
        <v/>
      </c>
      <c r="AA323" t="s">
        <v>151</v>
      </c>
      <c r="AB323" t="s">
        <v>104</v>
      </c>
      <c r="AC323">
        <v>2</v>
      </c>
      <c r="AD323" s="1" t="str">
        <f>IFERROR(IF(INDEX(Items[Selected Count], MATCH(Recipes2[[#This Row],[Name]], Items[Name], 0)) &gt; 0, ROW() - ROW(Recipes2[#Headers]), ""), "")</f>
        <v/>
      </c>
      <c r="AE323" s="1" t="str">
        <f>IFERROR(SMALL(Recipes2[Selected], ROW() - ROW(Recipes2[#Headers])), "")</f>
        <v/>
      </c>
      <c r="AF323" s="1" t="str">
        <f>IFERROR(INDEX(Recipes2[Name], Recipes2[[#This Row],[Selected Sorted]]), "")</f>
        <v/>
      </c>
      <c r="AG323" s="1" t="str">
        <f>IFERROR(INDEX(Recipes2[Component], Recipes2[[#This Row],[Selected Sorted]]), "")</f>
        <v/>
      </c>
      <c r="AH323" s="1" t="str">
        <f>IFERROR(INDEX(Recipes2[Quantity], Recipes2[[#This Row],[Selected Sorted]]), "")</f>
        <v/>
      </c>
    </row>
    <row r="324" spans="18:34" x14ac:dyDescent="0.25">
      <c r="R324" t="s">
        <v>103</v>
      </c>
      <c r="S324" t="s">
        <v>104</v>
      </c>
      <c r="T324">
        <v>4</v>
      </c>
      <c r="U324" s="1" t="str">
        <f>IFERROR(IF(INDEX(Items[Selected Count], MATCH(Recipes[[#This Row],[Name]], Items[Name], 0)) &gt; 0, ROW() - ROW(Recipes[#Headers]), ""), "")</f>
        <v/>
      </c>
      <c r="V324" s="1" t="str">
        <f>IFERROR(SMALL(Recipes[Selected], ROW() - ROW(Recipes[#Headers])), "")</f>
        <v/>
      </c>
      <c r="W324" s="1" t="str">
        <f>IFERROR(INDEX(Recipes[Name], Recipes[[#This Row],[Selected Sorted]]), "")</f>
        <v/>
      </c>
      <c r="X324" s="1" t="str">
        <f>IFERROR(INDEX(Recipes[Component], Recipes[[#This Row],[Selected Sorted]]), "")</f>
        <v/>
      </c>
      <c r="Y324" s="1" t="str">
        <f>IFERROR(INDEX(Recipes[Quantity], Recipes[[#This Row],[Selected Sorted]]), "")</f>
        <v/>
      </c>
      <c r="AA324" t="s">
        <v>103</v>
      </c>
      <c r="AB324" t="s">
        <v>104</v>
      </c>
      <c r="AC324">
        <v>4</v>
      </c>
      <c r="AD324" s="1" t="str">
        <f>IFERROR(IF(INDEX(Items[Selected Count], MATCH(Recipes2[[#This Row],[Name]], Items[Name], 0)) &gt; 0, ROW() - ROW(Recipes2[#Headers]), ""), "")</f>
        <v/>
      </c>
      <c r="AE324" s="1" t="str">
        <f>IFERROR(SMALL(Recipes2[Selected], ROW() - ROW(Recipes2[#Headers])), "")</f>
        <v/>
      </c>
      <c r="AF324" s="1" t="str">
        <f>IFERROR(INDEX(Recipes2[Name], Recipes2[[#This Row],[Selected Sorted]]), "")</f>
        <v/>
      </c>
      <c r="AG324" s="1" t="str">
        <f>IFERROR(INDEX(Recipes2[Component], Recipes2[[#This Row],[Selected Sorted]]), "")</f>
        <v/>
      </c>
      <c r="AH324" s="1" t="str">
        <f>IFERROR(INDEX(Recipes2[Quantity], Recipes2[[#This Row],[Selected Sorted]]), "")</f>
        <v/>
      </c>
    </row>
  </sheetData>
  <conditionalFormatting sqref="A2:A134">
    <cfRule type="duplicateValues" dxfId="36" priority="74"/>
  </conditionalFormatting>
  <dataValidations count="1">
    <dataValidation type="list" allowBlank="1" showInputMessage="1" showErrorMessage="1" sqref="E2:E134" xr:uid="{00000000-0002-0000-0100-000000000000}">
      <formula1>ProducerTypes</formula1>
    </dataValidation>
  </dataValidations>
  <pageMargins left="0.7" right="0.7" top="0.75" bottom="0.75" header="0.3" footer="0.3"/>
  <pageSetup orientation="portrait" horizontalDpi="4294967293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ratchSheet"/>
  <dimension ref="A1:L1073"/>
  <sheetViews>
    <sheetView workbookViewId="0">
      <selection activeCell="B2" sqref="B2"/>
    </sheetView>
  </sheetViews>
  <sheetFormatPr defaultRowHeight="15" x14ac:dyDescent="0.25"/>
  <cols>
    <col min="1" max="1" width="17" customWidth="1"/>
    <col min="2" max="2" width="17.28515625" customWidth="1"/>
    <col min="5" max="5" width="20.5703125" customWidth="1"/>
    <col min="8" max="8" width="19.7109375" customWidth="1"/>
    <col min="9" max="9" width="9.85546875" customWidth="1"/>
  </cols>
  <sheetData>
    <row r="1" spans="1:12" x14ac:dyDescent="0.25">
      <c r="A1" t="s">
        <v>11</v>
      </c>
      <c r="B1" t="s">
        <v>15</v>
      </c>
      <c r="C1" t="s">
        <v>16</v>
      </c>
      <c r="I1" t="s">
        <v>181</v>
      </c>
      <c r="J1" t="s">
        <v>180</v>
      </c>
      <c r="K1" t="s">
        <v>174</v>
      </c>
      <c r="L1" t="s">
        <v>175</v>
      </c>
    </row>
    <row r="2" spans="1:12" x14ac:dyDescent="0.25">
      <c r="A2" t="s">
        <v>68</v>
      </c>
      <c r="B2" t="s">
        <v>52</v>
      </c>
      <c r="C2">
        <v>5</v>
      </c>
      <c r="E2" t="s">
        <v>177</v>
      </c>
      <c r="H2" s="3" t="s">
        <v>135</v>
      </c>
      <c r="I2" s="6">
        <v>1</v>
      </c>
      <c r="J2" s="1">
        <f>IFERROR($F$4 / J3, "")</f>
        <v>5.0000000000000001E-4</v>
      </c>
      <c r="K2" s="1">
        <f>IFERROR($F$4 / K3, "")</f>
        <v>0.4</v>
      </c>
      <c r="L2" s="1">
        <f>IFERROR($F$4 / L3, "")</f>
        <v>6.6666666666666666E-2</v>
      </c>
    </row>
    <row r="3" spans="1:12" x14ac:dyDescent="0.25">
      <c r="A3" t="s">
        <v>68</v>
      </c>
      <c r="B3" t="s">
        <v>2</v>
      </c>
      <c r="C3">
        <v>9</v>
      </c>
      <c r="E3" t="s">
        <v>176</v>
      </c>
      <c r="F3" t="str">
        <f>SelectedName</f>
        <v>Electronic Circuit</v>
      </c>
      <c r="H3" s="9" t="s">
        <v>179</v>
      </c>
      <c r="I3" s="6">
        <f>IFERROR($F$4 / I2, "")</f>
        <v>0.4</v>
      </c>
      <c r="J3" s="1">
        <v>800</v>
      </c>
      <c r="K3" s="1">
        <f>IFERROR(1 / K4, "")</f>
        <v>1</v>
      </c>
      <c r="L3" s="1">
        <f>IFERROR(1 / L4, "")</f>
        <v>6</v>
      </c>
    </row>
    <row r="4" spans="1:12" x14ac:dyDescent="0.25">
      <c r="A4" t="s">
        <v>68</v>
      </c>
      <c r="B4" t="s">
        <v>4</v>
      </c>
      <c r="C4">
        <v>5</v>
      </c>
      <c r="E4" t="s">
        <v>178</v>
      </c>
      <c r="F4">
        <f>IFERROR(INDEX(Items[Cycle Time for One], MATCH(SelectedName, Items[Name], 0)), "")</f>
        <v>0.4</v>
      </c>
      <c r="H4" s="9" t="s">
        <v>173</v>
      </c>
      <c r="I4" s="6">
        <f>IFERROR(1 / I3, "")</f>
        <v>2.5</v>
      </c>
      <c r="J4" s="6">
        <f>IFERROR(1 / J3, "")</f>
        <v>1.25E-3</v>
      </c>
      <c r="K4" s="1">
        <v>1</v>
      </c>
      <c r="L4" s="1">
        <f>IFERROR(L5 / 60, "")</f>
        <v>0.16666666666666666</v>
      </c>
    </row>
    <row r="5" spans="1:12" x14ac:dyDescent="0.25">
      <c r="A5" t="s">
        <v>68</v>
      </c>
      <c r="B5" t="s">
        <v>62</v>
      </c>
      <c r="C5">
        <v>100</v>
      </c>
      <c r="E5" t="s">
        <v>186</v>
      </c>
      <c r="F5">
        <f>COUNT(ThingsNeeded[Producers])</f>
        <v>6</v>
      </c>
      <c r="H5" s="3" t="s">
        <v>136</v>
      </c>
      <c r="I5" s="6">
        <f>IFERROR(60 / I3, "")</f>
        <v>150</v>
      </c>
      <c r="J5" s="6">
        <f>IFERROR(60 / J3, "")</f>
        <v>7.4999999999999997E-2</v>
      </c>
      <c r="K5" s="6">
        <f>IFERROR(60 / K3, "")</f>
        <v>60</v>
      </c>
      <c r="L5" s="1">
        <v>10</v>
      </c>
    </row>
    <row r="6" spans="1:12" x14ac:dyDescent="0.25">
      <c r="A6" t="s">
        <v>68</v>
      </c>
      <c r="B6" t="s">
        <v>86</v>
      </c>
      <c r="C6">
        <v>5</v>
      </c>
      <c r="H6" s="3"/>
    </row>
    <row r="7" spans="1:12" x14ac:dyDescent="0.25">
      <c r="A7" t="s">
        <v>68</v>
      </c>
      <c r="B7" t="s">
        <v>85</v>
      </c>
      <c r="C7">
        <v>9</v>
      </c>
      <c r="H7" s="3"/>
    </row>
    <row r="8" spans="1:12" x14ac:dyDescent="0.25">
      <c r="A8" t="s">
        <v>68</v>
      </c>
      <c r="B8" t="s">
        <v>64</v>
      </c>
      <c r="C8">
        <v>10</v>
      </c>
    </row>
    <row r="9" spans="1:12" x14ac:dyDescent="0.25">
      <c r="A9" t="s">
        <v>68</v>
      </c>
      <c r="B9" t="s">
        <v>63</v>
      </c>
      <c r="C9">
        <v>170</v>
      </c>
    </row>
    <row r="10" spans="1:12" x14ac:dyDescent="0.25">
      <c r="A10" t="s">
        <v>68</v>
      </c>
      <c r="B10" t="s">
        <v>65</v>
      </c>
      <c r="C10">
        <v>150</v>
      </c>
    </row>
    <row r="11" spans="1:12" x14ac:dyDescent="0.25">
      <c r="A11" t="s">
        <v>163</v>
      </c>
      <c r="B11" t="s">
        <v>6</v>
      </c>
      <c r="C11">
        <v>1</v>
      </c>
    </row>
    <row r="12" spans="1:12" x14ac:dyDescent="0.25">
      <c r="A12" t="s">
        <v>163</v>
      </c>
      <c r="B12" t="s">
        <v>5</v>
      </c>
      <c r="C12">
        <v>5</v>
      </c>
    </row>
    <row r="13" spans="1:12" x14ac:dyDescent="0.25">
      <c r="A13" t="s">
        <v>163</v>
      </c>
      <c r="B13" t="s">
        <v>107</v>
      </c>
      <c r="C13">
        <v>1</v>
      </c>
    </row>
    <row r="14" spans="1:12" x14ac:dyDescent="0.25">
      <c r="A14" t="s">
        <v>163</v>
      </c>
      <c r="B14" t="s">
        <v>1</v>
      </c>
      <c r="C14">
        <v>19</v>
      </c>
    </row>
    <row r="15" spans="1:12" x14ac:dyDescent="0.25">
      <c r="A15" t="s">
        <v>163</v>
      </c>
      <c r="B15" t="s">
        <v>3</v>
      </c>
      <c r="C15">
        <v>2</v>
      </c>
    </row>
    <row r="16" spans="1:12" x14ac:dyDescent="0.25">
      <c r="A16" t="s">
        <v>163</v>
      </c>
      <c r="B16" t="s">
        <v>4</v>
      </c>
      <c r="C16">
        <v>9.5</v>
      </c>
    </row>
    <row r="17" spans="1:3" x14ac:dyDescent="0.25">
      <c r="A17" t="s">
        <v>163</v>
      </c>
      <c r="B17" t="s">
        <v>86</v>
      </c>
      <c r="C17">
        <v>9.5</v>
      </c>
    </row>
    <row r="18" spans="1:3" x14ac:dyDescent="0.25">
      <c r="A18" t="s">
        <v>163</v>
      </c>
      <c r="B18" t="s">
        <v>2</v>
      </c>
      <c r="C18">
        <v>45</v>
      </c>
    </row>
    <row r="19" spans="1:3" x14ac:dyDescent="0.25">
      <c r="A19" t="s">
        <v>163</v>
      </c>
      <c r="B19" t="s">
        <v>85</v>
      </c>
      <c r="C19">
        <v>45</v>
      </c>
    </row>
    <row r="20" spans="1:3" x14ac:dyDescent="0.25">
      <c r="A20" t="s">
        <v>163</v>
      </c>
      <c r="B20" t="s">
        <v>38</v>
      </c>
      <c r="C20">
        <v>1</v>
      </c>
    </row>
    <row r="21" spans="1:3" x14ac:dyDescent="0.25">
      <c r="A21" t="s">
        <v>163</v>
      </c>
      <c r="B21" t="s">
        <v>65</v>
      </c>
      <c r="C21">
        <v>20</v>
      </c>
    </row>
    <row r="22" spans="1:3" x14ac:dyDescent="0.25">
      <c r="A22" t="s">
        <v>163</v>
      </c>
      <c r="B22" t="s">
        <v>35</v>
      </c>
      <c r="C22">
        <v>8</v>
      </c>
    </row>
    <row r="23" spans="1:3" x14ac:dyDescent="0.25">
      <c r="A23" t="s">
        <v>6</v>
      </c>
      <c r="B23" t="s">
        <v>1</v>
      </c>
      <c r="C23">
        <v>10</v>
      </c>
    </row>
    <row r="24" spans="1:3" x14ac:dyDescent="0.25">
      <c r="A24" t="s">
        <v>6</v>
      </c>
      <c r="B24" t="s">
        <v>5</v>
      </c>
      <c r="C24">
        <v>2</v>
      </c>
    </row>
    <row r="25" spans="1:3" x14ac:dyDescent="0.25">
      <c r="A25" t="s">
        <v>6</v>
      </c>
      <c r="B25" t="s">
        <v>3</v>
      </c>
      <c r="C25">
        <v>2</v>
      </c>
    </row>
    <row r="26" spans="1:3" x14ac:dyDescent="0.25">
      <c r="A26" t="s">
        <v>6</v>
      </c>
      <c r="B26" t="s">
        <v>4</v>
      </c>
      <c r="C26">
        <v>5</v>
      </c>
    </row>
    <row r="27" spans="1:3" x14ac:dyDescent="0.25">
      <c r="A27" t="s">
        <v>6</v>
      </c>
      <c r="B27" t="s">
        <v>86</v>
      </c>
      <c r="C27">
        <v>5</v>
      </c>
    </row>
    <row r="28" spans="1:3" x14ac:dyDescent="0.25">
      <c r="A28" t="s">
        <v>6</v>
      </c>
      <c r="B28" t="s">
        <v>2</v>
      </c>
      <c r="C28">
        <v>2</v>
      </c>
    </row>
    <row r="29" spans="1:3" x14ac:dyDescent="0.25">
      <c r="A29" t="s">
        <v>6</v>
      </c>
      <c r="B29" t="s">
        <v>85</v>
      </c>
      <c r="C29">
        <v>2</v>
      </c>
    </row>
    <row r="30" spans="1:3" x14ac:dyDescent="0.25">
      <c r="A30" t="s">
        <v>6</v>
      </c>
      <c r="B30" t="s">
        <v>38</v>
      </c>
      <c r="C30">
        <v>1</v>
      </c>
    </row>
    <row r="31" spans="1:3" x14ac:dyDescent="0.25">
      <c r="A31" t="s">
        <v>6</v>
      </c>
      <c r="B31" t="s">
        <v>65</v>
      </c>
      <c r="C31">
        <v>20</v>
      </c>
    </row>
    <row r="32" spans="1:3" x14ac:dyDescent="0.25">
      <c r="A32" t="s">
        <v>7</v>
      </c>
      <c r="B32" t="s">
        <v>5</v>
      </c>
      <c r="C32">
        <v>3</v>
      </c>
    </row>
    <row r="33" spans="1:3" x14ac:dyDescent="0.25">
      <c r="A33" t="s">
        <v>7</v>
      </c>
      <c r="B33" t="s">
        <v>8</v>
      </c>
      <c r="C33">
        <v>5</v>
      </c>
    </row>
    <row r="34" spans="1:3" x14ac:dyDescent="0.25">
      <c r="A34" t="s">
        <v>7</v>
      </c>
      <c r="B34" t="s">
        <v>2</v>
      </c>
      <c r="C34">
        <v>22</v>
      </c>
    </row>
    <row r="35" spans="1:3" x14ac:dyDescent="0.25">
      <c r="A35" t="s">
        <v>7</v>
      </c>
      <c r="B35" t="s">
        <v>1</v>
      </c>
      <c r="C35">
        <v>9</v>
      </c>
    </row>
    <row r="36" spans="1:3" x14ac:dyDescent="0.25">
      <c r="A36" t="s">
        <v>7</v>
      </c>
      <c r="B36" t="s">
        <v>4</v>
      </c>
      <c r="C36">
        <v>4.5</v>
      </c>
    </row>
    <row r="37" spans="1:3" x14ac:dyDescent="0.25">
      <c r="A37" t="s">
        <v>7</v>
      </c>
      <c r="B37" t="s">
        <v>86</v>
      </c>
      <c r="C37">
        <v>4.5</v>
      </c>
    </row>
    <row r="38" spans="1:3" x14ac:dyDescent="0.25">
      <c r="A38" t="s">
        <v>7</v>
      </c>
      <c r="B38" t="s">
        <v>85</v>
      </c>
      <c r="C38">
        <v>22</v>
      </c>
    </row>
    <row r="39" spans="1:3" x14ac:dyDescent="0.25">
      <c r="A39" t="s">
        <v>9</v>
      </c>
      <c r="B39" t="s">
        <v>7</v>
      </c>
      <c r="C39">
        <v>1</v>
      </c>
    </row>
    <row r="40" spans="1:3" x14ac:dyDescent="0.25">
      <c r="A40" t="s">
        <v>9</v>
      </c>
      <c r="B40" t="s">
        <v>5</v>
      </c>
      <c r="C40">
        <v>6</v>
      </c>
    </row>
    <row r="41" spans="1:3" x14ac:dyDescent="0.25">
      <c r="A41" t="s">
        <v>9</v>
      </c>
      <c r="B41" t="s">
        <v>8</v>
      </c>
      <c r="C41">
        <v>10</v>
      </c>
    </row>
    <row r="42" spans="1:3" x14ac:dyDescent="0.25">
      <c r="A42" t="s">
        <v>9</v>
      </c>
      <c r="B42" t="s">
        <v>2</v>
      </c>
      <c r="C42">
        <v>44</v>
      </c>
    </row>
    <row r="43" spans="1:3" x14ac:dyDescent="0.25">
      <c r="A43" t="s">
        <v>9</v>
      </c>
      <c r="B43" t="s">
        <v>1</v>
      </c>
      <c r="C43">
        <v>18</v>
      </c>
    </row>
    <row r="44" spans="1:3" x14ac:dyDescent="0.25">
      <c r="A44" t="s">
        <v>9</v>
      </c>
      <c r="B44" t="s">
        <v>4</v>
      </c>
      <c r="C44">
        <v>9</v>
      </c>
    </row>
    <row r="45" spans="1:3" x14ac:dyDescent="0.25">
      <c r="A45" t="s">
        <v>9</v>
      </c>
      <c r="B45" t="s">
        <v>86</v>
      </c>
      <c r="C45">
        <v>9</v>
      </c>
    </row>
    <row r="46" spans="1:3" x14ac:dyDescent="0.25">
      <c r="A46" t="s">
        <v>9</v>
      </c>
      <c r="B46" t="s">
        <v>85</v>
      </c>
      <c r="C46">
        <v>44</v>
      </c>
    </row>
    <row r="47" spans="1:3" x14ac:dyDescent="0.25">
      <c r="A47" t="s">
        <v>10</v>
      </c>
      <c r="B47" t="s">
        <v>9</v>
      </c>
      <c r="C47">
        <v>1</v>
      </c>
    </row>
    <row r="48" spans="1:3" x14ac:dyDescent="0.25">
      <c r="A48" t="s">
        <v>10</v>
      </c>
      <c r="B48" t="s">
        <v>0</v>
      </c>
      <c r="C48">
        <v>4</v>
      </c>
    </row>
    <row r="49" spans="1:3" x14ac:dyDescent="0.25">
      <c r="A49" t="s">
        <v>10</v>
      </c>
      <c r="B49" t="s">
        <v>7</v>
      </c>
      <c r="C49">
        <v>1</v>
      </c>
    </row>
    <row r="50" spans="1:3" x14ac:dyDescent="0.25">
      <c r="A50" t="s">
        <v>10</v>
      </c>
      <c r="B50" t="s">
        <v>5</v>
      </c>
      <c r="C50">
        <v>66</v>
      </c>
    </row>
    <row r="51" spans="1:3" x14ac:dyDescent="0.25">
      <c r="A51" t="s">
        <v>10</v>
      </c>
      <c r="B51" t="s">
        <v>8</v>
      </c>
      <c r="C51">
        <v>10</v>
      </c>
    </row>
    <row r="52" spans="1:3" x14ac:dyDescent="0.25">
      <c r="A52" t="s">
        <v>10</v>
      </c>
      <c r="B52" t="s">
        <v>2</v>
      </c>
      <c r="C52">
        <v>104</v>
      </c>
    </row>
    <row r="53" spans="1:3" x14ac:dyDescent="0.25">
      <c r="A53" t="s">
        <v>10</v>
      </c>
      <c r="B53" t="s">
        <v>1</v>
      </c>
      <c r="C53">
        <v>278</v>
      </c>
    </row>
    <row r="54" spans="1:3" x14ac:dyDescent="0.25">
      <c r="A54" t="s">
        <v>10</v>
      </c>
      <c r="B54" t="s">
        <v>4</v>
      </c>
      <c r="C54">
        <v>139</v>
      </c>
    </row>
    <row r="55" spans="1:3" x14ac:dyDescent="0.25">
      <c r="A55" t="s">
        <v>10</v>
      </c>
      <c r="B55" t="s">
        <v>86</v>
      </c>
      <c r="C55">
        <v>139</v>
      </c>
    </row>
    <row r="56" spans="1:3" x14ac:dyDescent="0.25">
      <c r="A56" t="s">
        <v>10</v>
      </c>
      <c r="B56" t="s">
        <v>85</v>
      </c>
      <c r="C56">
        <v>104</v>
      </c>
    </row>
    <row r="57" spans="1:3" x14ac:dyDescent="0.25">
      <c r="A57" t="s">
        <v>10</v>
      </c>
      <c r="B57" t="s">
        <v>6</v>
      </c>
      <c r="C57">
        <v>20</v>
      </c>
    </row>
    <row r="58" spans="1:3" x14ac:dyDescent="0.25">
      <c r="A58" t="s">
        <v>10</v>
      </c>
      <c r="B58" t="s">
        <v>3</v>
      </c>
      <c r="C58">
        <v>40</v>
      </c>
    </row>
    <row r="59" spans="1:3" x14ac:dyDescent="0.25">
      <c r="A59" t="s">
        <v>10</v>
      </c>
      <c r="B59" t="s">
        <v>38</v>
      </c>
      <c r="C59">
        <v>20</v>
      </c>
    </row>
    <row r="60" spans="1:3" x14ac:dyDescent="0.25">
      <c r="A60" t="s">
        <v>10</v>
      </c>
      <c r="B60" t="s">
        <v>65</v>
      </c>
      <c r="C60">
        <v>400</v>
      </c>
    </row>
    <row r="61" spans="1:3" x14ac:dyDescent="0.25">
      <c r="A61" t="s">
        <v>52</v>
      </c>
      <c r="B61" t="s">
        <v>4</v>
      </c>
      <c r="C61">
        <v>1</v>
      </c>
    </row>
    <row r="62" spans="1:3" x14ac:dyDescent="0.25">
      <c r="A62" t="s">
        <v>52</v>
      </c>
      <c r="B62" t="s">
        <v>2</v>
      </c>
      <c r="C62">
        <v>1.4</v>
      </c>
    </row>
    <row r="63" spans="1:3" x14ac:dyDescent="0.25">
      <c r="A63" t="s">
        <v>52</v>
      </c>
      <c r="B63" t="s">
        <v>62</v>
      </c>
      <c r="C63">
        <v>20</v>
      </c>
    </row>
    <row r="64" spans="1:3" x14ac:dyDescent="0.25">
      <c r="A64" t="s">
        <v>52</v>
      </c>
      <c r="B64" t="s">
        <v>86</v>
      </c>
      <c r="C64">
        <v>1</v>
      </c>
    </row>
    <row r="65" spans="1:3" x14ac:dyDescent="0.25">
      <c r="A65" t="s">
        <v>52</v>
      </c>
      <c r="B65" t="s">
        <v>85</v>
      </c>
      <c r="C65">
        <v>1.4</v>
      </c>
    </row>
    <row r="66" spans="1:3" x14ac:dyDescent="0.25">
      <c r="A66" t="s">
        <v>52</v>
      </c>
      <c r="B66" t="s">
        <v>64</v>
      </c>
      <c r="C66">
        <v>2</v>
      </c>
    </row>
    <row r="67" spans="1:3" x14ac:dyDescent="0.25">
      <c r="A67" t="s">
        <v>52</v>
      </c>
      <c r="B67" t="s">
        <v>63</v>
      </c>
      <c r="C67">
        <v>34</v>
      </c>
    </row>
    <row r="68" spans="1:3" x14ac:dyDescent="0.25">
      <c r="A68" t="s">
        <v>52</v>
      </c>
      <c r="B68" t="s">
        <v>65</v>
      </c>
      <c r="C68">
        <v>30</v>
      </c>
    </row>
    <row r="69" spans="1:3" x14ac:dyDescent="0.25">
      <c r="A69" t="s">
        <v>121</v>
      </c>
      <c r="B69" t="s">
        <v>6</v>
      </c>
      <c r="C69">
        <v>20</v>
      </c>
    </row>
    <row r="70" spans="1:3" x14ac:dyDescent="0.25">
      <c r="A70" t="s">
        <v>121</v>
      </c>
      <c r="B70" t="s">
        <v>1</v>
      </c>
      <c r="C70">
        <v>270</v>
      </c>
    </row>
    <row r="71" spans="1:3" x14ac:dyDescent="0.25">
      <c r="A71" t="s">
        <v>121</v>
      </c>
      <c r="B71" t="s">
        <v>5</v>
      </c>
      <c r="C71">
        <v>60</v>
      </c>
    </row>
    <row r="72" spans="1:3" x14ac:dyDescent="0.25">
      <c r="A72" t="s">
        <v>121</v>
      </c>
      <c r="B72" t="s">
        <v>35</v>
      </c>
      <c r="C72">
        <v>10</v>
      </c>
    </row>
    <row r="73" spans="1:3" x14ac:dyDescent="0.25">
      <c r="A73" t="s">
        <v>121</v>
      </c>
      <c r="B73" t="s">
        <v>3</v>
      </c>
      <c r="C73">
        <v>40</v>
      </c>
    </row>
    <row r="74" spans="1:3" x14ac:dyDescent="0.25">
      <c r="A74" t="s">
        <v>121</v>
      </c>
      <c r="B74" t="s">
        <v>4</v>
      </c>
      <c r="C74">
        <v>135</v>
      </c>
    </row>
    <row r="75" spans="1:3" x14ac:dyDescent="0.25">
      <c r="A75" t="s">
        <v>121</v>
      </c>
      <c r="B75" t="s">
        <v>86</v>
      </c>
      <c r="C75">
        <v>135</v>
      </c>
    </row>
    <row r="76" spans="1:3" x14ac:dyDescent="0.25">
      <c r="A76" t="s">
        <v>121</v>
      </c>
      <c r="B76" t="s">
        <v>2</v>
      </c>
      <c r="C76">
        <v>110</v>
      </c>
    </row>
    <row r="77" spans="1:3" x14ac:dyDescent="0.25">
      <c r="A77" t="s">
        <v>121</v>
      </c>
      <c r="B77" t="s">
        <v>85</v>
      </c>
      <c r="C77">
        <v>110</v>
      </c>
    </row>
    <row r="78" spans="1:3" x14ac:dyDescent="0.25">
      <c r="A78" t="s">
        <v>121</v>
      </c>
      <c r="B78" t="s">
        <v>38</v>
      </c>
      <c r="C78">
        <v>20</v>
      </c>
    </row>
    <row r="79" spans="1:3" x14ac:dyDescent="0.25">
      <c r="A79" t="s">
        <v>121</v>
      </c>
      <c r="B79" t="s">
        <v>65</v>
      </c>
      <c r="C79">
        <v>400</v>
      </c>
    </row>
    <row r="80" spans="1:3" x14ac:dyDescent="0.25">
      <c r="A80" t="s">
        <v>40</v>
      </c>
      <c r="B80" t="s">
        <v>4</v>
      </c>
      <c r="C80">
        <v>5</v>
      </c>
    </row>
    <row r="81" spans="1:3" x14ac:dyDescent="0.25">
      <c r="A81" t="s">
        <v>40</v>
      </c>
      <c r="B81" t="s">
        <v>35</v>
      </c>
      <c r="C81">
        <v>5</v>
      </c>
    </row>
    <row r="82" spans="1:3" x14ac:dyDescent="0.25">
      <c r="A82" t="s">
        <v>40</v>
      </c>
      <c r="B82" t="s">
        <v>86</v>
      </c>
      <c r="C82">
        <v>5</v>
      </c>
    </row>
    <row r="83" spans="1:3" x14ac:dyDescent="0.25">
      <c r="A83" t="s">
        <v>40</v>
      </c>
      <c r="B83" t="s">
        <v>2</v>
      </c>
      <c r="C83">
        <v>25</v>
      </c>
    </row>
    <row r="84" spans="1:3" x14ac:dyDescent="0.25">
      <c r="A84" t="s">
        <v>40</v>
      </c>
      <c r="B84" t="s">
        <v>85</v>
      </c>
      <c r="C84">
        <v>25</v>
      </c>
    </row>
    <row r="85" spans="1:3" x14ac:dyDescent="0.25">
      <c r="A85" t="s">
        <v>143</v>
      </c>
      <c r="B85" t="s">
        <v>23</v>
      </c>
      <c r="C85">
        <v>4</v>
      </c>
    </row>
    <row r="86" spans="1:3" x14ac:dyDescent="0.25">
      <c r="A86" t="s">
        <v>143</v>
      </c>
      <c r="B86" t="s">
        <v>98</v>
      </c>
      <c r="C86">
        <v>1</v>
      </c>
    </row>
    <row r="87" spans="1:3" x14ac:dyDescent="0.25">
      <c r="A87" t="s">
        <v>143</v>
      </c>
      <c r="B87" t="s">
        <v>2</v>
      </c>
      <c r="C87">
        <v>4</v>
      </c>
    </row>
    <row r="88" spans="1:3" x14ac:dyDescent="0.25">
      <c r="A88" t="s">
        <v>143</v>
      </c>
      <c r="B88" t="s">
        <v>85</v>
      </c>
      <c r="C88">
        <v>4</v>
      </c>
    </row>
    <row r="89" spans="1:3" x14ac:dyDescent="0.25">
      <c r="A89" t="s">
        <v>143</v>
      </c>
      <c r="B89" t="s">
        <v>84</v>
      </c>
      <c r="C89">
        <v>5</v>
      </c>
    </row>
    <row r="90" spans="1:3" x14ac:dyDescent="0.25">
      <c r="A90" t="s">
        <v>101</v>
      </c>
      <c r="B90" t="s">
        <v>8</v>
      </c>
      <c r="C90">
        <v>3</v>
      </c>
    </row>
    <row r="91" spans="1:3" x14ac:dyDescent="0.25">
      <c r="A91" t="s">
        <v>101</v>
      </c>
      <c r="B91" t="s">
        <v>2</v>
      </c>
      <c r="C91">
        <v>9</v>
      </c>
    </row>
    <row r="92" spans="1:3" x14ac:dyDescent="0.25">
      <c r="A92" t="s">
        <v>101</v>
      </c>
      <c r="B92" t="s">
        <v>98</v>
      </c>
      <c r="C92">
        <v>1</v>
      </c>
    </row>
    <row r="93" spans="1:3" x14ac:dyDescent="0.25">
      <c r="A93" t="s">
        <v>101</v>
      </c>
      <c r="B93" t="s">
        <v>85</v>
      </c>
      <c r="C93">
        <v>9</v>
      </c>
    </row>
    <row r="94" spans="1:3" x14ac:dyDescent="0.25">
      <c r="A94" t="s">
        <v>101</v>
      </c>
      <c r="B94" t="s">
        <v>84</v>
      </c>
      <c r="C94">
        <v>5</v>
      </c>
    </row>
    <row r="95" spans="1:3" x14ac:dyDescent="0.25">
      <c r="A95" t="s">
        <v>161</v>
      </c>
      <c r="B95" t="s">
        <v>53</v>
      </c>
      <c r="C95">
        <v>8</v>
      </c>
    </row>
    <row r="96" spans="1:3" x14ac:dyDescent="0.25">
      <c r="A96" t="s">
        <v>161</v>
      </c>
      <c r="B96" t="s">
        <v>2</v>
      </c>
      <c r="C96">
        <v>117</v>
      </c>
    </row>
    <row r="97" spans="1:3" x14ac:dyDescent="0.25">
      <c r="A97" t="s">
        <v>161</v>
      </c>
      <c r="B97" t="s">
        <v>35</v>
      </c>
      <c r="C97">
        <v>13</v>
      </c>
    </row>
    <row r="98" spans="1:3" x14ac:dyDescent="0.25">
      <c r="A98" t="s">
        <v>161</v>
      </c>
      <c r="B98" t="s">
        <v>8</v>
      </c>
      <c r="C98">
        <v>8</v>
      </c>
    </row>
    <row r="99" spans="1:3" x14ac:dyDescent="0.25">
      <c r="A99" t="s">
        <v>161</v>
      </c>
      <c r="B99" t="s">
        <v>23</v>
      </c>
      <c r="C99">
        <v>16</v>
      </c>
    </row>
    <row r="100" spans="1:3" x14ac:dyDescent="0.25">
      <c r="A100" t="s">
        <v>161</v>
      </c>
      <c r="B100" t="s">
        <v>85</v>
      </c>
      <c r="C100">
        <v>117</v>
      </c>
    </row>
    <row r="101" spans="1:3" x14ac:dyDescent="0.25">
      <c r="A101" t="s">
        <v>159</v>
      </c>
      <c r="B101" t="s">
        <v>8</v>
      </c>
      <c r="C101">
        <v>10</v>
      </c>
    </row>
    <row r="102" spans="1:3" x14ac:dyDescent="0.25">
      <c r="A102" t="s">
        <v>159</v>
      </c>
      <c r="B102" t="s">
        <v>2</v>
      </c>
      <c r="C102">
        <v>140</v>
      </c>
    </row>
    <row r="103" spans="1:3" x14ac:dyDescent="0.25">
      <c r="A103" t="s">
        <v>159</v>
      </c>
      <c r="B103" t="s">
        <v>35</v>
      </c>
      <c r="C103">
        <v>20</v>
      </c>
    </row>
    <row r="104" spans="1:3" x14ac:dyDescent="0.25">
      <c r="A104" t="s">
        <v>159</v>
      </c>
      <c r="B104" t="s">
        <v>85</v>
      </c>
      <c r="C104">
        <v>140</v>
      </c>
    </row>
    <row r="105" spans="1:3" x14ac:dyDescent="0.25">
      <c r="A105" t="s">
        <v>149</v>
      </c>
      <c r="B105" t="s">
        <v>6</v>
      </c>
      <c r="C105">
        <v>100</v>
      </c>
    </row>
    <row r="106" spans="1:3" x14ac:dyDescent="0.25">
      <c r="A106" t="s">
        <v>149</v>
      </c>
      <c r="B106" t="s">
        <v>146</v>
      </c>
      <c r="C106">
        <v>100</v>
      </c>
    </row>
    <row r="107" spans="1:3" x14ac:dyDescent="0.25">
      <c r="A107" t="s">
        <v>149</v>
      </c>
      <c r="B107" t="s">
        <v>8</v>
      </c>
      <c r="C107">
        <v>100</v>
      </c>
    </row>
    <row r="108" spans="1:3" x14ac:dyDescent="0.25">
      <c r="A108" t="s">
        <v>149</v>
      </c>
      <c r="B108" t="s">
        <v>35</v>
      </c>
      <c r="C108">
        <v>50</v>
      </c>
    </row>
    <row r="109" spans="1:3" x14ac:dyDescent="0.25">
      <c r="A109" t="s">
        <v>149</v>
      </c>
      <c r="B109" t="s">
        <v>1</v>
      </c>
      <c r="C109">
        <v>1000</v>
      </c>
    </row>
    <row r="110" spans="1:3" x14ac:dyDescent="0.25">
      <c r="A110" t="s">
        <v>149</v>
      </c>
      <c r="B110" t="s">
        <v>5</v>
      </c>
      <c r="C110">
        <v>200</v>
      </c>
    </row>
    <row r="111" spans="1:3" x14ac:dyDescent="0.25">
      <c r="A111" t="s">
        <v>149</v>
      </c>
      <c r="B111" t="s">
        <v>3</v>
      </c>
      <c r="C111">
        <v>200</v>
      </c>
    </row>
    <row r="112" spans="1:3" x14ac:dyDescent="0.25">
      <c r="A112" t="s">
        <v>149</v>
      </c>
      <c r="B112" t="s">
        <v>4</v>
      </c>
      <c r="C112">
        <v>500</v>
      </c>
    </row>
    <row r="113" spans="1:3" x14ac:dyDescent="0.25">
      <c r="A113" t="s">
        <v>149</v>
      </c>
      <c r="B113" t="s">
        <v>86</v>
      </c>
      <c r="C113">
        <v>500</v>
      </c>
    </row>
    <row r="114" spans="1:3" x14ac:dyDescent="0.25">
      <c r="A114" t="s">
        <v>149</v>
      </c>
      <c r="B114" t="s">
        <v>2</v>
      </c>
      <c r="C114">
        <v>650</v>
      </c>
    </row>
    <row r="115" spans="1:3" x14ac:dyDescent="0.25">
      <c r="A115" t="s">
        <v>149</v>
      </c>
      <c r="B115" t="s">
        <v>85</v>
      </c>
      <c r="C115">
        <v>660</v>
      </c>
    </row>
    <row r="116" spans="1:3" x14ac:dyDescent="0.25">
      <c r="A116" t="s">
        <v>149</v>
      </c>
      <c r="B116" t="s">
        <v>38</v>
      </c>
      <c r="C116">
        <v>100</v>
      </c>
    </row>
    <row r="117" spans="1:3" x14ac:dyDescent="0.25">
      <c r="A117" t="s">
        <v>149</v>
      </c>
      <c r="B117" t="s">
        <v>65</v>
      </c>
      <c r="C117">
        <v>2000</v>
      </c>
    </row>
    <row r="118" spans="1:3" x14ac:dyDescent="0.25">
      <c r="A118" t="s">
        <v>149</v>
      </c>
      <c r="B118" t="s">
        <v>83</v>
      </c>
      <c r="C118">
        <v>50</v>
      </c>
    </row>
    <row r="119" spans="1:3" x14ac:dyDescent="0.25">
      <c r="A119" t="s">
        <v>149</v>
      </c>
      <c r="B119" t="s">
        <v>63</v>
      </c>
      <c r="C119">
        <v>1000</v>
      </c>
    </row>
    <row r="120" spans="1:3" x14ac:dyDescent="0.25">
      <c r="A120" t="s">
        <v>149</v>
      </c>
      <c r="B120" t="s">
        <v>84</v>
      </c>
      <c r="C120">
        <v>100</v>
      </c>
    </row>
    <row r="121" spans="1:3" x14ac:dyDescent="0.25">
      <c r="A121" t="s">
        <v>60</v>
      </c>
      <c r="B121" t="s">
        <v>5</v>
      </c>
      <c r="C121">
        <v>5</v>
      </c>
    </row>
    <row r="122" spans="1:3" x14ac:dyDescent="0.25">
      <c r="A122" t="s">
        <v>60</v>
      </c>
      <c r="B122" t="s">
        <v>8</v>
      </c>
      <c r="C122">
        <v>5</v>
      </c>
    </row>
    <row r="123" spans="1:3" x14ac:dyDescent="0.25">
      <c r="A123" t="s">
        <v>60</v>
      </c>
      <c r="B123" t="s">
        <v>23</v>
      </c>
      <c r="C123">
        <v>5</v>
      </c>
    </row>
    <row r="124" spans="1:3" x14ac:dyDescent="0.25">
      <c r="A124" t="s">
        <v>60</v>
      </c>
      <c r="B124" t="s">
        <v>35</v>
      </c>
      <c r="C124">
        <v>5</v>
      </c>
    </row>
    <row r="125" spans="1:3" x14ac:dyDescent="0.25">
      <c r="A125" t="s">
        <v>60</v>
      </c>
      <c r="B125" t="s">
        <v>1</v>
      </c>
      <c r="C125">
        <v>15</v>
      </c>
    </row>
    <row r="126" spans="1:3" x14ac:dyDescent="0.25">
      <c r="A126" t="s">
        <v>60</v>
      </c>
      <c r="B126" t="s">
        <v>2</v>
      </c>
      <c r="C126">
        <v>45</v>
      </c>
    </row>
    <row r="127" spans="1:3" x14ac:dyDescent="0.25">
      <c r="A127" t="s">
        <v>60</v>
      </c>
      <c r="B127" t="s">
        <v>4</v>
      </c>
      <c r="C127">
        <v>7.5</v>
      </c>
    </row>
    <row r="128" spans="1:3" x14ac:dyDescent="0.25">
      <c r="A128" t="s">
        <v>60</v>
      </c>
      <c r="B128" t="s">
        <v>86</v>
      </c>
      <c r="C128">
        <v>7.5</v>
      </c>
    </row>
    <row r="129" spans="1:3" x14ac:dyDescent="0.25">
      <c r="A129" t="s">
        <v>60</v>
      </c>
      <c r="B129" t="s">
        <v>85</v>
      </c>
      <c r="C129">
        <v>45</v>
      </c>
    </row>
    <row r="130" spans="1:3" x14ac:dyDescent="0.25">
      <c r="A130" t="s">
        <v>146</v>
      </c>
      <c r="B130" t="s">
        <v>85</v>
      </c>
      <c r="C130">
        <v>0.1</v>
      </c>
    </row>
    <row r="131" spans="1:3" x14ac:dyDescent="0.25">
      <c r="A131" t="s">
        <v>146</v>
      </c>
      <c r="B131" t="s">
        <v>83</v>
      </c>
      <c r="C131">
        <v>0.5</v>
      </c>
    </row>
    <row r="132" spans="1:3" x14ac:dyDescent="0.25">
      <c r="A132" t="s">
        <v>146</v>
      </c>
      <c r="B132" t="s">
        <v>63</v>
      </c>
      <c r="C132">
        <v>10</v>
      </c>
    </row>
    <row r="133" spans="1:3" x14ac:dyDescent="0.25">
      <c r="A133" t="s">
        <v>146</v>
      </c>
      <c r="B133" t="s">
        <v>84</v>
      </c>
      <c r="C133">
        <v>1</v>
      </c>
    </row>
    <row r="134" spans="1:3" x14ac:dyDescent="0.25">
      <c r="A134" t="s">
        <v>56</v>
      </c>
      <c r="B134" t="s">
        <v>5</v>
      </c>
      <c r="C134">
        <v>7</v>
      </c>
    </row>
    <row r="135" spans="1:3" x14ac:dyDescent="0.25">
      <c r="A135" t="s">
        <v>56</v>
      </c>
      <c r="B135" t="s">
        <v>55</v>
      </c>
      <c r="C135">
        <v>1</v>
      </c>
    </row>
    <row r="136" spans="1:3" x14ac:dyDescent="0.25">
      <c r="A136" t="s">
        <v>56</v>
      </c>
      <c r="B136" t="s">
        <v>1</v>
      </c>
      <c r="C136">
        <v>21</v>
      </c>
    </row>
    <row r="137" spans="1:3" x14ac:dyDescent="0.25">
      <c r="A137" t="s">
        <v>56</v>
      </c>
      <c r="B137" t="s">
        <v>2</v>
      </c>
      <c r="C137">
        <v>23.8</v>
      </c>
    </row>
    <row r="138" spans="1:3" x14ac:dyDescent="0.25">
      <c r="A138" t="s">
        <v>56</v>
      </c>
      <c r="B138" t="s">
        <v>4</v>
      </c>
      <c r="C138">
        <v>12.5</v>
      </c>
    </row>
    <row r="139" spans="1:3" x14ac:dyDescent="0.25">
      <c r="A139" t="s">
        <v>56</v>
      </c>
      <c r="B139" t="s">
        <v>86</v>
      </c>
      <c r="C139">
        <v>12.5</v>
      </c>
    </row>
    <row r="140" spans="1:3" x14ac:dyDescent="0.25">
      <c r="A140" t="s">
        <v>56</v>
      </c>
      <c r="B140" t="s">
        <v>85</v>
      </c>
      <c r="C140">
        <v>23.8</v>
      </c>
    </row>
    <row r="141" spans="1:3" x14ac:dyDescent="0.25">
      <c r="A141" t="s">
        <v>56</v>
      </c>
      <c r="B141" t="s">
        <v>52</v>
      </c>
      <c r="C141">
        <v>2</v>
      </c>
    </row>
    <row r="142" spans="1:3" x14ac:dyDescent="0.25">
      <c r="A142" t="s">
        <v>56</v>
      </c>
      <c r="B142" t="s">
        <v>54</v>
      </c>
      <c r="C142">
        <v>1</v>
      </c>
    </row>
    <row r="143" spans="1:3" x14ac:dyDescent="0.25">
      <c r="A143" t="s">
        <v>56</v>
      </c>
      <c r="B143" t="s">
        <v>35</v>
      </c>
      <c r="C143">
        <v>2</v>
      </c>
    </row>
    <row r="144" spans="1:3" x14ac:dyDescent="0.25">
      <c r="A144" t="s">
        <v>56</v>
      </c>
      <c r="B144" t="s">
        <v>62</v>
      </c>
      <c r="C144">
        <v>40</v>
      </c>
    </row>
    <row r="145" spans="1:3" x14ac:dyDescent="0.25">
      <c r="A145" t="s">
        <v>56</v>
      </c>
      <c r="B145" t="s">
        <v>64</v>
      </c>
      <c r="C145">
        <v>4</v>
      </c>
    </row>
    <row r="146" spans="1:3" x14ac:dyDescent="0.25">
      <c r="A146" t="s">
        <v>56</v>
      </c>
      <c r="B146" t="s">
        <v>63</v>
      </c>
      <c r="C146">
        <v>68</v>
      </c>
    </row>
    <row r="147" spans="1:3" x14ac:dyDescent="0.25">
      <c r="A147" t="s">
        <v>56</v>
      </c>
      <c r="B147" t="s">
        <v>65</v>
      </c>
      <c r="C147">
        <v>60</v>
      </c>
    </row>
    <row r="148" spans="1:3" x14ac:dyDescent="0.25">
      <c r="A148" t="s">
        <v>56</v>
      </c>
      <c r="B148" t="s">
        <v>53</v>
      </c>
      <c r="C148">
        <v>1</v>
      </c>
    </row>
    <row r="149" spans="1:3" x14ac:dyDescent="0.25">
      <c r="A149" t="s">
        <v>56</v>
      </c>
      <c r="B149" t="s">
        <v>33</v>
      </c>
      <c r="C149">
        <v>15</v>
      </c>
    </row>
    <row r="150" spans="1:3" x14ac:dyDescent="0.25">
      <c r="A150" t="s">
        <v>56</v>
      </c>
      <c r="B150" t="s">
        <v>8</v>
      </c>
      <c r="C150">
        <v>1</v>
      </c>
    </row>
    <row r="151" spans="1:3" x14ac:dyDescent="0.25">
      <c r="A151" t="s">
        <v>56</v>
      </c>
      <c r="B151" t="s">
        <v>23</v>
      </c>
      <c r="C151">
        <v>2</v>
      </c>
    </row>
    <row r="152" spans="1:3" x14ac:dyDescent="0.25">
      <c r="A152" t="s">
        <v>56</v>
      </c>
      <c r="B152" t="s">
        <v>207</v>
      </c>
      <c r="C152">
        <v>15</v>
      </c>
    </row>
    <row r="153" spans="1:3" x14ac:dyDescent="0.25">
      <c r="A153" t="s">
        <v>1</v>
      </c>
      <c r="B153" t="s">
        <v>4</v>
      </c>
      <c r="C153">
        <v>0.5</v>
      </c>
    </row>
    <row r="154" spans="1:3" x14ac:dyDescent="0.25">
      <c r="A154" t="s">
        <v>1</v>
      </c>
      <c r="B154" t="s">
        <v>86</v>
      </c>
      <c r="C154">
        <v>0.5</v>
      </c>
    </row>
    <row r="155" spans="1:3" x14ac:dyDescent="0.25">
      <c r="A155" t="s">
        <v>4</v>
      </c>
      <c r="B155" t="s">
        <v>86</v>
      </c>
      <c r="C155">
        <v>1</v>
      </c>
    </row>
    <row r="156" spans="1:3" x14ac:dyDescent="0.25">
      <c r="A156" t="s">
        <v>122</v>
      </c>
      <c r="B156" t="s">
        <v>5</v>
      </c>
      <c r="C156">
        <v>2</v>
      </c>
    </row>
    <row r="157" spans="1:3" x14ac:dyDescent="0.25">
      <c r="A157" t="s">
        <v>122</v>
      </c>
      <c r="B157" t="s">
        <v>8</v>
      </c>
      <c r="C157">
        <v>3</v>
      </c>
    </row>
    <row r="158" spans="1:3" x14ac:dyDescent="0.25">
      <c r="A158" t="s">
        <v>122</v>
      </c>
      <c r="B158" t="s">
        <v>34</v>
      </c>
      <c r="C158">
        <v>1</v>
      </c>
    </row>
    <row r="159" spans="1:3" x14ac:dyDescent="0.25">
      <c r="A159" t="s">
        <v>122</v>
      </c>
      <c r="B159" t="s">
        <v>1</v>
      </c>
      <c r="C159">
        <v>6</v>
      </c>
    </row>
    <row r="160" spans="1:3" x14ac:dyDescent="0.25">
      <c r="A160" t="s">
        <v>122</v>
      </c>
      <c r="B160" t="s">
        <v>2</v>
      </c>
      <c r="C160">
        <v>17</v>
      </c>
    </row>
    <row r="161" spans="1:3" x14ac:dyDescent="0.25">
      <c r="A161" t="s">
        <v>122</v>
      </c>
      <c r="B161" t="s">
        <v>4</v>
      </c>
      <c r="C161">
        <v>8</v>
      </c>
    </row>
    <row r="162" spans="1:3" x14ac:dyDescent="0.25">
      <c r="A162" t="s">
        <v>122</v>
      </c>
      <c r="B162" t="s">
        <v>86</v>
      </c>
      <c r="C162">
        <v>8</v>
      </c>
    </row>
    <row r="163" spans="1:3" x14ac:dyDescent="0.25">
      <c r="A163" t="s">
        <v>122</v>
      </c>
      <c r="B163" t="s">
        <v>85</v>
      </c>
      <c r="C163">
        <v>17</v>
      </c>
    </row>
    <row r="164" spans="1:3" x14ac:dyDescent="0.25">
      <c r="A164" t="s">
        <v>122</v>
      </c>
      <c r="B164" t="s">
        <v>71</v>
      </c>
      <c r="C164">
        <v>1</v>
      </c>
    </row>
    <row r="165" spans="1:3" x14ac:dyDescent="0.25">
      <c r="A165" t="s">
        <v>122</v>
      </c>
      <c r="B165" t="s">
        <v>35</v>
      </c>
      <c r="C165">
        <v>1</v>
      </c>
    </row>
    <row r="166" spans="1:3" x14ac:dyDescent="0.25">
      <c r="A166" t="s">
        <v>124</v>
      </c>
      <c r="B166" t="s">
        <v>123</v>
      </c>
      <c r="C166">
        <v>4</v>
      </c>
    </row>
    <row r="167" spans="1:3" x14ac:dyDescent="0.25">
      <c r="A167" t="s">
        <v>124</v>
      </c>
      <c r="B167" t="s">
        <v>0</v>
      </c>
      <c r="C167">
        <v>1</v>
      </c>
    </row>
    <row r="168" spans="1:3" x14ac:dyDescent="0.25">
      <c r="A168" t="s">
        <v>124</v>
      </c>
      <c r="B168" t="s">
        <v>6</v>
      </c>
      <c r="C168">
        <v>17</v>
      </c>
    </row>
    <row r="169" spans="1:3" x14ac:dyDescent="0.25">
      <c r="A169" t="s">
        <v>124</v>
      </c>
      <c r="B169" t="s">
        <v>122</v>
      </c>
      <c r="C169">
        <v>16</v>
      </c>
    </row>
    <row r="170" spans="1:3" x14ac:dyDescent="0.25">
      <c r="A170" t="s">
        <v>124</v>
      </c>
      <c r="B170" t="s">
        <v>1</v>
      </c>
      <c r="C170">
        <v>281</v>
      </c>
    </row>
    <row r="171" spans="1:3" x14ac:dyDescent="0.25">
      <c r="A171" t="s">
        <v>124</v>
      </c>
      <c r="B171" t="s">
        <v>5</v>
      </c>
      <c r="C171">
        <v>71</v>
      </c>
    </row>
    <row r="172" spans="1:3" x14ac:dyDescent="0.25">
      <c r="A172" t="s">
        <v>124</v>
      </c>
      <c r="B172" t="s">
        <v>3</v>
      </c>
      <c r="C172">
        <v>34</v>
      </c>
    </row>
    <row r="173" spans="1:3" x14ac:dyDescent="0.25">
      <c r="A173" t="s">
        <v>124</v>
      </c>
      <c r="B173" t="s">
        <v>4</v>
      </c>
      <c r="C173">
        <v>220.5</v>
      </c>
    </row>
    <row r="174" spans="1:3" x14ac:dyDescent="0.25">
      <c r="A174" t="s">
        <v>124</v>
      </c>
      <c r="B174" t="s">
        <v>86</v>
      </c>
      <c r="C174">
        <v>220.5</v>
      </c>
    </row>
    <row r="175" spans="1:3" x14ac:dyDescent="0.25">
      <c r="A175" t="s">
        <v>124</v>
      </c>
      <c r="B175" t="s">
        <v>2</v>
      </c>
      <c r="C175">
        <v>311</v>
      </c>
    </row>
    <row r="176" spans="1:3" x14ac:dyDescent="0.25">
      <c r="A176" t="s">
        <v>124</v>
      </c>
      <c r="B176" t="s">
        <v>85</v>
      </c>
      <c r="C176">
        <v>311</v>
      </c>
    </row>
    <row r="177" spans="1:3" x14ac:dyDescent="0.25">
      <c r="A177" t="s">
        <v>124</v>
      </c>
      <c r="B177" t="s">
        <v>38</v>
      </c>
      <c r="C177">
        <v>17</v>
      </c>
    </row>
    <row r="178" spans="1:3" x14ac:dyDescent="0.25">
      <c r="A178" t="s">
        <v>124</v>
      </c>
      <c r="B178" t="s">
        <v>65</v>
      </c>
      <c r="C178">
        <v>340</v>
      </c>
    </row>
    <row r="179" spans="1:3" x14ac:dyDescent="0.25">
      <c r="A179" t="s">
        <v>124</v>
      </c>
      <c r="B179" t="s">
        <v>8</v>
      </c>
      <c r="C179">
        <v>48</v>
      </c>
    </row>
    <row r="180" spans="1:3" x14ac:dyDescent="0.25">
      <c r="A180" t="s">
        <v>124</v>
      </c>
      <c r="B180" t="s">
        <v>34</v>
      </c>
      <c r="C180">
        <v>16</v>
      </c>
    </row>
    <row r="181" spans="1:3" x14ac:dyDescent="0.25">
      <c r="A181" t="s">
        <v>124</v>
      </c>
      <c r="B181" t="s">
        <v>71</v>
      </c>
      <c r="C181">
        <v>16</v>
      </c>
    </row>
    <row r="182" spans="1:3" x14ac:dyDescent="0.25">
      <c r="A182" t="s">
        <v>124</v>
      </c>
      <c r="B182" t="s">
        <v>35</v>
      </c>
      <c r="C182">
        <v>16</v>
      </c>
    </row>
    <row r="183" spans="1:3" x14ac:dyDescent="0.25">
      <c r="A183" t="s">
        <v>123</v>
      </c>
      <c r="B183" t="s">
        <v>6</v>
      </c>
      <c r="C183">
        <v>3</v>
      </c>
    </row>
    <row r="184" spans="1:3" x14ac:dyDescent="0.25">
      <c r="A184" t="s">
        <v>123</v>
      </c>
      <c r="B184" t="s">
        <v>122</v>
      </c>
      <c r="C184">
        <v>4</v>
      </c>
    </row>
    <row r="185" spans="1:3" x14ac:dyDescent="0.25">
      <c r="A185" t="s">
        <v>123</v>
      </c>
      <c r="B185" t="s">
        <v>1</v>
      </c>
      <c r="C185">
        <v>54</v>
      </c>
    </row>
    <row r="186" spans="1:3" x14ac:dyDescent="0.25">
      <c r="A186" t="s">
        <v>123</v>
      </c>
      <c r="B186" t="s">
        <v>5</v>
      </c>
      <c r="C186">
        <v>14</v>
      </c>
    </row>
    <row r="187" spans="1:3" x14ac:dyDescent="0.25">
      <c r="A187" t="s">
        <v>123</v>
      </c>
      <c r="B187" t="s">
        <v>3</v>
      </c>
      <c r="C187">
        <v>6</v>
      </c>
    </row>
    <row r="188" spans="1:3" x14ac:dyDescent="0.25">
      <c r="A188" t="s">
        <v>123</v>
      </c>
      <c r="B188" t="s">
        <v>4</v>
      </c>
      <c r="C188">
        <v>47</v>
      </c>
    </row>
    <row r="189" spans="1:3" x14ac:dyDescent="0.25">
      <c r="A189" t="s">
        <v>123</v>
      </c>
      <c r="B189" t="s">
        <v>86</v>
      </c>
      <c r="C189">
        <v>47</v>
      </c>
    </row>
    <row r="190" spans="1:3" x14ac:dyDescent="0.25">
      <c r="A190" t="s">
        <v>123</v>
      </c>
      <c r="B190" t="s">
        <v>2</v>
      </c>
      <c r="C190">
        <v>74</v>
      </c>
    </row>
    <row r="191" spans="1:3" x14ac:dyDescent="0.25">
      <c r="A191" t="s">
        <v>123</v>
      </c>
      <c r="B191" t="s">
        <v>85</v>
      </c>
      <c r="C191">
        <v>74</v>
      </c>
    </row>
    <row r="192" spans="1:3" x14ac:dyDescent="0.25">
      <c r="A192" t="s">
        <v>123</v>
      </c>
      <c r="B192" t="s">
        <v>38</v>
      </c>
      <c r="C192">
        <v>3</v>
      </c>
    </row>
    <row r="193" spans="1:3" x14ac:dyDescent="0.25">
      <c r="A193" t="s">
        <v>123</v>
      </c>
      <c r="B193" t="s">
        <v>65</v>
      </c>
      <c r="C193">
        <v>60</v>
      </c>
    </row>
    <row r="194" spans="1:3" x14ac:dyDescent="0.25">
      <c r="A194" t="s">
        <v>123</v>
      </c>
      <c r="B194" t="s">
        <v>8</v>
      </c>
      <c r="C194">
        <v>12</v>
      </c>
    </row>
    <row r="195" spans="1:3" x14ac:dyDescent="0.25">
      <c r="A195" t="s">
        <v>123</v>
      </c>
      <c r="B195" t="s">
        <v>34</v>
      </c>
      <c r="C195">
        <v>4</v>
      </c>
    </row>
    <row r="196" spans="1:3" x14ac:dyDescent="0.25">
      <c r="A196" t="s">
        <v>123</v>
      </c>
      <c r="B196" t="s">
        <v>71</v>
      </c>
      <c r="C196">
        <v>4</v>
      </c>
    </row>
    <row r="197" spans="1:3" x14ac:dyDescent="0.25">
      <c r="A197" t="s">
        <v>123</v>
      </c>
      <c r="B197" t="s">
        <v>35</v>
      </c>
      <c r="C197">
        <v>4</v>
      </c>
    </row>
    <row r="198" spans="1:3" x14ac:dyDescent="0.25">
      <c r="A198" t="s">
        <v>116</v>
      </c>
      <c r="B198" t="s">
        <v>6</v>
      </c>
      <c r="C198">
        <v>5</v>
      </c>
    </row>
    <row r="199" spans="1:3" x14ac:dyDescent="0.25">
      <c r="A199" t="s">
        <v>116</v>
      </c>
      <c r="B199" t="s">
        <v>5</v>
      </c>
      <c r="C199">
        <v>15</v>
      </c>
    </row>
    <row r="200" spans="1:3" x14ac:dyDescent="0.25">
      <c r="A200" t="s">
        <v>116</v>
      </c>
      <c r="B200" t="s">
        <v>1</v>
      </c>
      <c r="C200">
        <v>65</v>
      </c>
    </row>
    <row r="201" spans="1:3" x14ac:dyDescent="0.25">
      <c r="A201" t="s">
        <v>116</v>
      </c>
      <c r="B201" t="s">
        <v>3</v>
      </c>
      <c r="C201">
        <v>10</v>
      </c>
    </row>
    <row r="202" spans="1:3" x14ac:dyDescent="0.25">
      <c r="A202" t="s">
        <v>116</v>
      </c>
      <c r="B202" t="s">
        <v>4</v>
      </c>
      <c r="C202">
        <v>32.5</v>
      </c>
    </row>
    <row r="203" spans="1:3" x14ac:dyDescent="0.25">
      <c r="A203" t="s">
        <v>116</v>
      </c>
      <c r="B203" t="s">
        <v>86</v>
      </c>
      <c r="C203">
        <v>32.5</v>
      </c>
    </row>
    <row r="204" spans="1:3" x14ac:dyDescent="0.25">
      <c r="A204" t="s">
        <v>116</v>
      </c>
      <c r="B204" t="s">
        <v>2</v>
      </c>
      <c r="C204">
        <v>15</v>
      </c>
    </row>
    <row r="205" spans="1:3" x14ac:dyDescent="0.25">
      <c r="A205" t="s">
        <v>116</v>
      </c>
      <c r="B205" t="s">
        <v>85</v>
      </c>
      <c r="C205">
        <v>15</v>
      </c>
    </row>
    <row r="206" spans="1:3" x14ac:dyDescent="0.25">
      <c r="A206" t="s">
        <v>116</v>
      </c>
      <c r="B206" t="s">
        <v>38</v>
      </c>
      <c r="C206">
        <v>5</v>
      </c>
    </row>
    <row r="207" spans="1:3" x14ac:dyDescent="0.25">
      <c r="A207" t="s">
        <v>116</v>
      </c>
      <c r="B207" t="s">
        <v>65</v>
      </c>
      <c r="C207">
        <v>100</v>
      </c>
    </row>
    <row r="208" spans="1:3" x14ac:dyDescent="0.25">
      <c r="A208" t="s">
        <v>112</v>
      </c>
      <c r="B208" t="s">
        <v>6</v>
      </c>
      <c r="C208">
        <v>35</v>
      </c>
    </row>
    <row r="209" spans="1:3" x14ac:dyDescent="0.25">
      <c r="A209" t="s">
        <v>112</v>
      </c>
      <c r="B209" t="s">
        <v>116</v>
      </c>
      <c r="C209">
        <v>4</v>
      </c>
    </row>
    <row r="210" spans="1:3" x14ac:dyDescent="0.25">
      <c r="A210" t="s">
        <v>112</v>
      </c>
      <c r="B210" t="s">
        <v>82</v>
      </c>
      <c r="C210">
        <v>5</v>
      </c>
    </row>
    <row r="211" spans="1:3" x14ac:dyDescent="0.25">
      <c r="A211" t="s">
        <v>112</v>
      </c>
      <c r="B211" t="s">
        <v>1</v>
      </c>
      <c r="C211">
        <v>710</v>
      </c>
    </row>
    <row r="212" spans="1:3" x14ac:dyDescent="0.25">
      <c r="A212" t="s">
        <v>112</v>
      </c>
      <c r="B212" t="s">
        <v>5</v>
      </c>
      <c r="C212">
        <v>190</v>
      </c>
    </row>
    <row r="213" spans="1:3" x14ac:dyDescent="0.25">
      <c r="A213" t="s">
        <v>112</v>
      </c>
      <c r="B213" t="s">
        <v>3</v>
      </c>
      <c r="C213">
        <v>70</v>
      </c>
    </row>
    <row r="214" spans="1:3" x14ac:dyDescent="0.25">
      <c r="A214" t="s">
        <v>112</v>
      </c>
      <c r="B214" t="s">
        <v>4</v>
      </c>
      <c r="C214">
        <v>355</v>
      </c>
    </row>
    <row r="215" spans="1:3" x14ac:dyDescent="0.25">
      <c r="A215" t="s">
        <v>112</v>
      </c>
      <c r="B215" t="s">
        <v>86</v>
      </c>
      <c r="C215">
        <v>355</v>
      </c>
    </row>
    <row r="216" spans="1:3" x14ac:dyDescent="0.25">
      <c r="A216" t="s">
        <v>112</v>
      </c>
      <c r="B216" t="s">
        <v>2</v>
      </c>
      <c r="C216">
        <v>190.5</v>
      </c>
    </row>
    <row r="217" spans="1:3" x14ac:dyDescent="0.25">
      <c r="A217" t="s">
        <v>112</v>
      </c>
      <c r="B217" t="s">
        <v>85</v>
      </c>
      <c r="C217">
        <v>190.5</v>
      </c>
    </row>
    <row r="218" spans="1:3" x14ac:dyDescent="0.25">
      <c r="A218" t="s">
        <v>112</v>
      </c>
      <c r="B218" t="s">
        <v>38</v>
      </c>
      <c r="C218">
        <v>35</v>
      </c>
    </row>
    <row r="219" spans="1:3" x14ac:dyDescent="0.25">
      <c r="A219" t="s">
        <v>112</v>
      </c>
      <c r="B219" t="s">
        <v>65</v>
      </c>
      <c r="C219">
        <v>737.5</v>
      </c>
    </row>
    <row r="220" spans="1:3" x14ac:dyDescent="0.25">
      <c r="A220" t="s">
        <v>112</v>
      </c>
      <c r="B220" t="s">
        <v>62</v>
      </c>
      <c r="C220">
        <v>25</v>
      </c>
    </row>
    <row r="221" spans="1:3" x14ac:dyDescent="0.25">
      <c r="A221" t="s">
        <v>112</v>
      </c>
      <c r="B221" t="s">
        <v>64</v>
      </c>
      <c r="C221">
        <v>2.5</v>
      </c>
    </row>
    <row r="222" spans="1:3" x14ac:dyDescent="0.25">
      <c r="A222" t="s">
        <v>112</v>
      </c>
      <c r="B222" t="s">
        <v>63</v>
      </c>
      <c r="C222">
        <v>42.5</v>
      </c>
    </row>
    <row r="223" spans="1:3" x14ac:dyDescent="0.25">
      <c r="A223" t="s">
        <v>113</v>
      </c>
      <c r="B223" t="s">
        <v>6</v>
      </c>
      <c r="C223">
        <v>190</v>
      </c>
    </row>
    <row r="224" spans="1:3" x14ac:dyDescent="0.25">
      <c r="A224" t="s">
        <v>113</v>
      </c>
      <c r="B224" t="s">
        <v>112</v>
      </c>
      <c r="C224">
        <v>5</v>
      </c>
    </row>
    <row r="225" spans="1:3" x14ac:dyDescent="0.25">
      <c r="A225" t="s">
        <v>113</v>
      </c>
      <c r="B225" t="s">
        <v>82</v>
      </c>
      <c r="C225">
        <v>30</v>
      </c>
    </row>
    <row r="226" spans="1:3" x14ac:dyDescent="0.25">
      <c r="A226" t="s">
        <v>113</v>
      </c>
      <c r="B226" t="s">
        <v>1</v>
      </c>
      <c r="C226">
        <v>4000</v>
      </c>
    </row>
    <row r="227" spans="1:3" x14ac:dyDescent="0.25">
      <c r="A227" t="s">
        <v>113</v>
      </c>
      <c r="B227" t="s">
        <v>5</v>
      </c>
      <c r="C227">
        <v>1080</v>
      </c>
    </row>
    <row r="228" spans="1:3" x14ac:dyDescent="0.25">
      <c r="A228" t="s">
        <v>113</v>
      </c>
      <c r="B228" t="s">
        <v>3</v>
      </c>
      <c r="C228">
        <v>380</v>
      </c>
    </row>
    <row r="229" spans="1:3" x14ac:dyDescent="0.25">
      <c r="A229" t="s">
        <v>113</v>
      </c>
      <c r="B229" t="s">
        <v>4</v>
      </c>
      <c r="C229">
        <v>2000</v>
      </c>
    </row>
    <row r="230" spans="1:3" x14ac:dyDescent="0.25">
      <c r="A230" t="s">
        <v>113</v>
      </c>
      <c r="B230" t="s">
        <v>86</v>
      </c>
      <c r="C230">
        <v>2000</v>
      </c>
    </row>
    <row r="231" spans="1:3" x14ac:dyDescent="0.25">
      <c r="A231" t="s">
        <v>113</v>
      </c>
      <c r="B231" t="s">
        <v>2</v>
      </c>
      <c r="C231">
        <v>1083</v>
      </c>
    </row>
    <row r="232" spans="1:3" x14ac:dyDescent="0.25">
      <c r="A232" t="s">
        <v>113</v>
      </c>
      <c r="B232" t="s">
        <v>85</v>
      </c>
      <c r="C232">
        <v>1083</v>
      </c>
    </row>
    <row r="233" spans="1:3" x14ac:dyDescent="0.25">
      <c r="A233" t="s">
        <v>113</v>
      </c>
      <c r="B233" t="s">
        <v>38</v>
      </c>
      <c r="C233">
        <v>190</v>
      </c>
    </row>
    <row r="234" spans="1:3" x14ac:dyDescent="0.25">
      <c r="A234" t="s">
        <v>113</v>
      </c>
      <c r="B234" t="s">
        <v>65</v>
      </c>
      <c r="C234">
        <v>4025</v>
      </c>
    </row>
    <row r="235" spans="1:3" x14ac:dyDescent="0.25">
      <c r="A235" t="s">
        <v>113</v>
      </c>
      <c r="B235" t="s">
        <v>116</v>
      </c>
      <c r="C235">
        <v>20</v>
      </c>
    </row>
    <row r="236" spans="1:3" x14ac:dyDescent="0.25">
      <c r="A236" t="s">
        <v>113</v>
      </c>
      <c r="B236" t="s">
        <v>62</v>
      </c>
      <c r="C236">
        <v>150</v>
      </c>
    </row>
    <row r="237" spans="1:3" x14ac:dyDescent="0.25">
      <c r="A237" t="s">
        <v>113</v>
      </c>
      <c r="B237" t="s">
        <v>64</v>
      </c>
      <c r="C237">
        <v>15</v>
      </c>
    </row>
    <row r="238" spans="1:3" x14ac:dyDescent="0.25">
      <c r="A238" t="s">
        <v>113</v>
      </c>
      <c r="B238" t="s">
        <v>63</v>
      </c>
      <c r="C238">
        <v>255</v>
      </c>
    </row>
    <row r="239" spans="1:3" x14ac:dyDescent="0.25">
      <c r="A239" t="s">
        <v>54</v>
      </c>
      <c r="B239" t="s">
        <v>5</v>
      </c>
      <c r="C239">
        <v>2</v>
      </c>
    </row>
    <row r="240" spans="1:3" x14ac:dyDescent="0.25">
      <c r="A240" t="s">
        <v>54</v>
      </c>
      <c r="B240" t="s">
        <v>53</v>
      </c>
      <c r="C240">
        <v>1</v>
      </c>
    </row>
    <row r="241" spans="1:3" x14ac:dyDescent="0.25">
      <c r="A241" t="s">
        <v>54</v>
      </c>
      <c r="B241" t="s">
        <v>33</v>
      </c>
      <c r="C241">
        <v>15</v>
      </c>
    </row>
    <row r="242" spans="1:3" x14ac:dyDescent="0.25">
      <c r="A242" t="s">
        <v>54</v>
      </c>
      <c r="B242" t="s">
        <v>1</v>
      </c>
      <c r="C242">
        <v>6</v>
      </c>
    </row>
    <row r="243" spans="1:3" x14ac:dyDescent="0.25">
      <c r="A243" t="s">
        <v>54</v>
      </c>
      <c r="B243" t="s">
        <v>2</v>
      </c>
      <c r="C243">
        <v>11</v>
      </c>
    </row>
    <row r="244" spans="1:3" x14ac:dyDescent="0.25">
      <c r="A244" t="s">
        <v>54</v>
      </c>
      <c r="B244" t="s">
        <v>4</v>
      </c>
      <c r="C244">
        <v>3</v>
      </c>
    </row>
    <row r="245" spans="1:3" x14ac:dyDescent="0.25">
      <c r="A245" t="s">
        <v>54</v>
      </c>
      <c r="B245" t="s">
        <v>86</v>
      </c>
      <c r="C245">
        <v>3</v>
      </c>
    </row>
    <row r="246" spans="1:3" x14ac:dyDescent="0.25">
      <c r="A246" t="s">
        <v>54</v>
      </c>
      <c r="B246" t="s">
        <v>85</v>
      </c>
      <c r="C246">
        <v>11</v>
      </c>
    </row>
    <row r="247" spans="1:3" x14ac:dyDescent="0.25">
      <c r="A247" t="s">
        <v>54</v>
      </c>
      <c r="B247" t="s">
        <v>8</v>
      </c>
      <c r="C247">
        <v>1</v>
      </c>
    </row>
    <row r="248" spans="1:3" x14ac:dyDescent="0.25">
      <c r="A248" t="s">
        <v>54</v>
      </c>
      <c r="B248" t="s">
        <v>23</v>
      </c>
      <c r="C248">
        <v>2</v>
      </c>
    </row>
    <row r="249" spans="1:3" x14ac:dyDescent="0.25">
      <c r="A249" t="s">
        <v>54</v>
      </c>
      <c r="B249" t="s">
        <v>35</v>
      </c>
      <c r="C249">
        <v>1</v>
      </c>
    </row>
    <row r="250" spans="1:3" x14ac:dyDescent="0.25">
      <c r="A250" t="s">
        <v>54</v>
      </c>
      <c r="B250" t="s">
        <v>207</v>
      </c>
      <c r="C250">
        <v>15</v>
      </c>
    </row>
    <row r="251" spans="1:3" x14ac:dyDescent="0.25">
      <c r="A251" t="s">
        <v>80</v>
      </c>
      <c r="B251" t="s">
        <v>6</v>
      </c>
      <c r="C251">
        <v>5</v>
      </c>
    </row>
    <row r="252" spans="1:3" x14ac:dyDescent="0.25">
      <c r="A252" t="s">
        <v>80</v>
      </c>
      <c r="B252" t="s">
        <v>35</v>
      </c>
      <c r="C252">
        <v>10</v>
      </c>
    </row>
    <row r="253" spans="1:3" x14ac:dyDescent="0.25">
      <c r="A253" t="s">
        <v>80</v>
      </c>
      <c r="B253" t="s">
        <v>83</v>
      </c>
      <c r="C253">
        <v>10</v>
      </c>
    </row>
    <row r="254" spans="1:3" x14ac:dyDescent="0.25">
      <c r="A254" t="s">
        <v>80</v>
      </c>
      <c r="B254" t="s">
        <v>1</v>
      </c>
      <c r="C254">
        <v>50</v>
      </c>
    </row>
    <row r="255" spans="1:3" x14ac:dyDescent="0.25">
      <c r="A255" t="s">
        <v>80</v>
      </c>
      <c r="B255" t="s">
        <v>5</v>
      </c>
      <c r="C255">
        <v>10</v>
      </c>
    </row>
    <row r="256" spans="1:3" x14ac:dyDescent="0.25">
      <c r="A256" t="s">
        <v>80</v>
      </c>
      <c r="B256" t="s">
        <v>3</v>
      </c>
      <c r="C256">
        <v>10</v>
      </c>
    </row>
    <row r="257" spans="1:3" x14ac:dyDescent="0.25">
      <c r="A257" t="s">
        <v>80</v>
      </c>
      <c r="B257" t="s">
        <v>4</v>
      </c>
      <c r="C257">
        <v>25</v>
      </c>
    </row>
    <row r="258" spans="1:3" x14ac:dyDescent="0.25">
      <c r="A258" t="s">
        <v>80</v>
      </c>
      <c r="B258" t="s">
        <v>86</v>
      </c>
      <c r="C258">
        <v>25</v>
      </c>
    </row>
    <row r="259" spans="1:3" x14ac:dyDescent="0.25">
      <c r="A259" t="s">
        <v>80</v>
      </c>
      <c r="B259" t="s">
        <v>2</v>
      </c>
      <c r="C259">
        <v>60</v>
      </c>
    </row>
    <row r="260" spans="1:3" x14ac:dyDescent="0.25">
      <c r="A260" t="s">
        <v>80</v>
      </c>
      <c r="B260" t="s">
        <v>85</v>
      </c>
      <c r="C260">
        <v>60</v>
      </c>
    </row>
    <row r="261" spans="1:3" x14ac:dyDescent="0.25">
      <c r="A261" t="s">
        <v>80</v>
      </c>
      <c r="B261" t="s">
        <v>38</v>
      </c>
      <c r="C261">
        <v>5</v>
      </c>
    </row>
    <row r="262" spans="1:3" x14ac:dyDescent="0.25">
      <c r="A262" t="s">
        <v>80</v>
      </c>
      <c r="B262" t="s">
        <v>65</v>
      </c>
      <c r="C262">
        <v>100</v>
      </c>
    </row>
    <row r="263" spans="1:3" x14ac:dyDescent="0.25">
      <c r="A263" t="s">
        <v>80</v>
      </c>
      <c r="B263" t="s">
        <v>84</v>
      </c>
      <c r="C263">
        <v>20</v>
      </c>
    </row>
    <row r="264" spans="1:3" x14ac:dyDescent="0.25">
      <c r="A264" t="s">
        <v>87</v>
      </c>
      <c r="B264" t="s">
        <v>5</v>
      </c>
      <c r="C264">
        <v>3</v>
      </c>
    </row>
    <row r="265" spans="1:3" x14ac:dyDescent="0.25">
      <c r="A265" t="s">
        <v>87</v>
      </c>
      <c r="B265" t="s">
        <v>8</v>
      </c>
      <c r="C265">
        <v>5</v>
      </c>
    </row>
    <row r="266" spans="1:3" x14ac:dyDescent="0.25">
      <c r="A266" t="s">
        <v>87</v>
      </c>
      <c r="B266" t="s">
        <v>2</v>
      </c>
      <c r="C266">
        <v>23</v>
      </c>
    </row>
    <row r="267" spans="1:3" x14ac:dyDescent="0.25">
      <c r="A267" t="s">
        <v>87</v>
      </c>
      <c r="B267" t="s">
        <v>1</v>
      </c>
      <c r="C267">
        <v>9</v>
      </c>
    </row>
    <row r="268" spans="1:3" x14ac:dyDescent="0.25">
      <c r="A268" t="s">
        <v>87</v>
      </c>
      <c r="B268" t="s">
        <v>4</v>
      </c>
      <c r="C268">
        <v>4.5</v>
      </c>
    </row>
    <row r="269" spans="1:3" x14ac:dyDescent="0.25">
      <c r="A269" t="s">
        <v>87</v>
      </c>
      <c r="B269" t="s">
        <v>86</v>
      </c>
      <c r="C269">
        <v>4.5</v>
      </c>
    </row>
    <row r="270" spans="1:3" x14ac:dyDescent="0.25">
      <c r="A270" t="s">
        <v>87</v>
      </c>
      <c r="B270" t="s">
        <v>85</v>
      </c>
      <c r="C270">
        <v>23</v>
      </c>
    </row>
    <row r="271" spans="1:3" x14ac:dyDescent="0.25">
      <c r="A271" t="s">
        <v>5</v>
      </c>
      <c r="B271" t="s">
        <v>1</v>
      </c>
      <c r="C271">
        <v>3</v>
      </c>
    </row>
    <row r="272" spans="1:3" x14ac:dyDescent="0.25">
      <c r="A272" t="s">
        <v>5</v>
      </c>
      <c r="B272" t="s">
        <v>2</v>
      </c>
      <c r="C272">
        <v>1</v>
      </c>
    </row>
    <row r="273" spans="1:3" x14ac:dyDescent="0.25">
      <c r="A273" t="s">
        <v>5</v>
      </c>
      <c r="B273" t="s">
        <v>4</v>
      </c>
      <c r="C273">
        <v>1.5</v>
      </c>
    </row>
    <row r="274" spans="1:3" x14ac:dyDescent="0.25">
      <c r="A274" t="s">
        <v>5</v>
      </c>
      <c r="B274" t="s">
        <v>86</v>
      </c>
      <c r="C274">
        <v>1.5</v>
      </c>
    </row>
    <row r="275" spans="1:3" x14ac:dyDescent="0.25">
      <c r="A275" t="s">
        <v>5</v>
      </c>
      <c r="B275" t="s">
        <v>85</v>
      </c>
      <c r="C275">
        <v>1</v>
      </c>
    </row>
    <row r="276" spans="1:3" x14ac:dyDescent="0.25">
      <c r="A276" t="s">
        <v>53</v>
      </c>
      <c r="B276" t="s">
        <v>8</v>
      </c>
      <c r="C276">
        <v>1</v>
      </c>
    </row>
    <row r="277" spans="1:3" x14ac:dyDescent="0.25">
      <c r="A277" t="s">
        <v>53</v>
      </c>
      <c r="B277" t="s">
        <v>23</v>
      </c>
      <c r="C277">
        <v>2</v>
      </c>
    </row>
    <row r="278" spans="1:3" x14ac:dyDescent="0.25">
      <c r="A278" t="s">
        <v>53</v>
      </c>
      <c r="B278" t="s">
        <v>35</v>
      </c>
      <c r="C278">
        <v>1</v>
      </c>
    </row>
    <row r="279" spans="1:3" x14ac:dyDescent="0.25">
      <c r="A279" t="s">
        <v>53</v>
      </c>
      <c r="B279" t="s">
        <v>2</v>
      </c>
      <c r="C279">
        <v>9</v>
      </c>
    </row>
    <row r="280" spans="1:3" x14ac:dyDescent="0.25">
      <c r="A280" t="s">
        <v>53</v>
      </c>
      <c r="B280" t="s">
        <v>85</v>
      </c>
      <c r="C280">
        <v>9</v>
      </c>
    </row>
    <row r="281" spans="1:3" x14ac:dyDescent="0.25">
      <c r="A281" t="s">
        <v>139</v>
      </c>
      <c r="B281" t="s">
        <v>38</v>
      </c>
      <c r="C281">
        <v>1</v>
      </c>
    </row>
    <row r="282" spans="1:3" x14ac:dyDescent="0.25">
      <c r="A282" t="s">
        <v>139</v>
      </c>
      <c r="B282" t="s">
        <v>64</v>
      </c>
      <c r="C282">
        <v>1</v>
      </c>
    </row>
    <row r="283" spans="1:3" x14ac:dyDescent="0.25">
      <c r="A283" t="s">
        <v>139</v>
      </c>
      <c r="B283" t="s">
        <v>63</v>
      </c>
      <c r="C283">
        <v>25</v>
      </c>
    </row>
    <row r="284" spans="1:3" x14ac:dyDescent="0.25">
      <c r="A284" t="s">
        <v>139</v>
      </c>
      <c r="B284" t="s">
        <v>65</v>
      </c>
      <c r="C284">
        <v>15</v>
      </c>
    </row>
    <row r="285" spans="1:3" x14ac:dyDescent="0.25">
      <c r="A285" t="s">
        <v>32</v>
      </c>
      <c r="B285" t="s">
        <v>6</v>
      </c>
      <c r="C285">
        <v>10</v>
      </c>
    </row>
    <row r="286" spans="1:3" x14ac:dyDescent="0.25">
      <c r="A286" t="s">
        <v>32</v>
      </c>
      <c r="B286" t="s">
        <v>31</v>
      </c>
      <c r="C286">
        <v>1</v>
      </c>
    </row>
    <row r="287" spans="1:3" x14ac:dyDescent="0.25">
      <c r="A287" t="s">
        <v>32</v>
      </c>
      <c r="B287" t="s">
        <v>8</v>
      </c>
      <c r="C287">
        <v>22</v>
      </c>
    </row>
    <row r="288" spans="1:3" x14ac:dyDescent="0.25">
      <c r="A288" t="s">
        <v>32</v>
      </c>
      <c r="B288" t="s">
        <v>33</v>
      </c>
      <c r="C288">
        <v>8</v>
      </c>
    </row>
    <row r="289" spans="1:3" x14ac:dyDescent="0.25">
      <c r="A289" t="s">
        <v>32</v>
      </c>
      <c r="B289" t="s">
        <v>1</v>
      </c>
      <c r="C289">
        <v>145</v>
      </c>
    </row>
    <row r="290" spans="1:3" x14ac:dyDescent="0.25">
      <c r="A290" t="s">
        <v>32</v>
      </c>
      <c r="B290" t="s">
        <v>5</v>
      </c>
      <c r="C290">
        <v>35</v>
      </c>
    </row>
    <row r="291" spans="1:3" x14ac:dyDescent="0.25">
      <c r="A291" t="s">
        <v>32</v>
      </c>
      <c r="B291" t="s">
        <v>3</v>
      </c>
      <c r="C291">
        <v>20</v>
      </c>
    </row>
    <row r="292" spans="1:3" x14ac:dyDescent="0.25">
      <c r="A292" t="s">
        <v>32</v>
      </c>
      <c r="B292" t="s">
        <v>4</v>
      </c>
      <c r="C292">
        <v>72.5</v>
      </c>
    </row>
    <row r="293" spans="1:3" x14ac:dyDescent="0.25">
      <c r="A293" t="s">
        <v>32</v>
      </c>
      <c r="B293" t="s">
        <v>86</v>
      </c>
      <c r="C293">
        <v>72.5</v>
      </c>
    </row>
    <row r="294" spans="1:3" x14ac:dyDescent="0.25">
      <c r="A294" t="s">
        <v>32</v>
      </c>
      <c r="B294" t="s">
        <v>2</v>
      </c>
      <c r="C294">
        <v>86</v>
      </c>
    </row>
    <row r="295" spans="1:3" x14ac:dyDescent="0.25">
      <c r="A295" t="s">
        <v>32</v>
      </c>
      <c r="B295" t="s">
        <v>85</v>
      </c>
      <c r="C295">
        <v>86</v>
      </c>
    </row>
    <row r="296" spans="1:3" x14ac:dyDescent="0.25">
      <c r="A296" t="s">
        <v>32</v>
      </c>
      <c r="B296" t="s">
        <v>38</v>
      </c>
      <c r="C296">
        <v>10</v>
      </c>
    </row>
    <row r="297" spans="1:3" x14ac:dyDescent="0.25">
      <c r="A297" t="s">
        <v>32</v>
      </c>
      <c r="B297" t="s">
        <v>65</v>
      </c>
      <c r="C297">
        <v>200</v>
      </c>
    </row>
    <row r="298" spans="1:3" x14ac:dyDescent="0.25">
      <c r="A298" t="s">
        <v>32</v>
      </c>
      <c r="B298" t="s">
        <v>30</v>
      </c>
      <c r="C298">
        <v>1</v>
      </c>
    </row>
    <row r="299" spans="1:3" x14ac:dyDescent="0.25">
      <c r="A299" t="s">
        <v>32</v>
      </c>
      <c r="B299" t="s">
        <v>24</v>
      </c>
      <c r="C299">
        <v>4</v>
      </c>
    </row>
    <row r="300" spans="1:3" x14ac:dyDescent="0.25">
      <c r="A300" t="s">
        <v>32</v>
      </c>
      <c r="B300" t="s">
        <v>207</v>
      </c>
      <c r="C300">
        <v>8</v>
      </c>
    </row>
    <row r="301" spans="1:3" x14ac:dyDescent="0.25">
      <c r="A301" t="s">
        <v>26</v>
      </c>
      <c r="B301" t="s">
        <v>25</v>
      </c>
      <c r="C301">
        <v>1</v>
      </c>
    </row>
    <row r="302" spans="1:3" x14ac:dyDescent="0.25">
      <c r="A302" t="s">
        <v>26</v>
      </c>
      <c r="B302" t="s">
        <v>8</v>
      </c>
      <c r="C302">
        <v>10.5</v>
      </c>
    </row>
    <row r="303" spans="1:3" x14ac:dyDescent="0.25">
      <c r="A303" t="s">
        <v>26</v>
      </c>
      <c r="B303" t="s">
        <v>33</v>
      </c>
      <c r="C303">
        <v>2</v>
      </c>
    </row>
    <row r="304" spans="1:3" x14ac:dyDescent="0.25">
      <c r="A304" t="s">
        <v>26</v>
      </c>
      <c r="B304" t="s">
        <v>24</v>
      </c>
      <c r="C304">
        <v>1</v>
      </c>
    </row>
    <row r="305" spans="1:3" x14ac:dyDescent="0.25">
      <c r="A305" t="s">
        <v>26</v>
      </c>
      <c r="B305" t="s">
        <v>2</v>
      </c>
      <c r="C305">
        <v>21.5</v>
      </c>
    </row>
    <row r="306" spans="1:3" x14ac:dyDescent="0.25">
      <c r="A306" t="s">
        <v>26</v>
      </c>
      <c r="B306" t="s">
        <v>85</v>
      </c>
      <c r="C306">
        <v>21.5</v>
      </c>
    </row>
    <row r="307" spans="1:3" x14ac:dyDescent="0.25">
      <c r="A307" t="s">
        <v>26</v>
      </c>
      <c r="B307" t="s">
        <v>207</v>
      </c>
      <c r="C307">
        <v>2</v>
      </c>
    </row>
    <row r="308" spans="1:3" x14ac:dyDescent="0.25">
      <c r="A308" t="s">
        <v>29</v>
      </c>
      <c r="B308" t="s">
        <v>28</v>
      </c>
      <c r="C308">
        <v>1</v>
      </c>
    </row>
    <row r="309" spans="1:3" x14ac:dyDescent="0.25">
      <c r="A309" t="s">
        <v>29</v>
      </c>
      <c r="B309" t="s">
        <v>8</v>
      </c>
      <c r="C309">
        <v>31.25</v>
      </c>
    </row>
    <row r="310" spans="1:3" x14ac:dyDescent="0.25">
      <c r="A310" t="s">
        <v>29</v>
      </c>
      <c r="B310" t="s">
        <v>33</v>
      </c>
      <c r="C310">
        <v>2</v>
      </c>
    </row>
    <row r="311" spans="1:3" x14ac:dyDescent="0.25">
      <c r="A311" t="s">
        <v>29</v>
      </c>
      <c r="B311" t="s">
        <v>27</v>
      </c>
      <c r="C311">
        <v>1</v>
      </c>
    </row>
    <row r="312" spans="1:3" x14ac:dyDescent="0.25">
      <c r="A312" t="s">
        <v>29</v>
      </c>
      <c r="B312" t="s">
        <v>2</v>
      </c>
      <c r="C312">
        <v>68.75</v>
      </c>
    </row>
    <row r="313" spans="1:3" x14ac:dyDescent="0.25">
      <c r="A313" t="s">
        <v>29</v>
      </c>
      <c r="B313" t="s">
        <v>85</v>
      </c>
      <c r="C313">
        <v>68.75</v>
      </c>
    </row>
    <row r="314" spans="1:3" x14ac:dyDescent="0.25">
      <c r="A314" t="s">
        <v>29</v>
      </c>
      <c r="B314" t="s">
        <v>24</v>
      </c>
      <c r="C314">
        <v>2.5</v>
      </c>
    </row>
    <row r="315" spans="1:3" x14ac:dyDescent="0.25">
      <c r="A315" t="s">
        <v>29</v>
      </c>
      <c r="B315" t="s">
        <v>207</v>
      </c>
      <c r="C315">
        <v>2</v>
      </c>
    </row>
    <row r="316" spans="1:3" x14ac:dyDescent="0.25">
      <c r="A316" t="s">
        <v>44</v>
      </c>
      <c r="B316" t="s">
        <v>5</v>
      </c>
      <c r="C316">
        <v>3</v>
      </c>
    </row>
    <row r="317" spans="1:3" x14ac:dyDescent="0.25">
      <c r="A317" t="s">
        <v>44</v>
      </c>
      <c r="B317" t="s">
        <v>42</v>
      </c>
      <c r="C317">
        <v>1</v>
      </c>
    </row>
    <row r="318" spans="1:3" x14ac:dyDescent="0.25">
      <c r="A318" t="s">
        <v>44</v>
      </c>
      <c r="B318" t="s">
        <v>2</v>
      </c>
      <c r="C318">
        <v>8</v>
      </c>
    </row>
    <row r="319" spans="1:3" x14ac:dyDescent="0.25">
      <c r="A319" t="s">
        <v>44</v>
      </c>
      <c r="B319" t="s">
        <v>1</v>
      </c>
      <c r="C319">
        <v>9</v>
      </c>
    </row>
    <row r="320" spans="1:3" x14ac:dyDescent="0.25">
      <c r="A320" t="s">
        <v>44</v>
      </c>
      <c r="B320" t="s">
        <v>4</v>
      </c>
      <c r="C320">
        <v>4.5</v>
      </c>
    </row>
    <row r="321" spans="1:3" x14ac:dyDescent="0.25">
      <c r="A321" t="s">
        <v>44</v>
      </c>
      <c r="B321" t="s">
        <v>86</v>
      </c>
      <c r="C321">
        <v>4.5</v>
      </c>
    </row>
    <row r="322" spans="1:3" x14ac:dyDescent="0.25">
      <c r="A322" t="s">
        <v>44</v>
      </c>
      <c r="B322" t="s">
        <v>85</v>
      </c>
      <c r="C322">
        <v>8</v>
      </c>
    </row>
    <row r="323" spans="1:3" x14ac:dyDescent="0.25">
      <c r="A323" t="s">
        <v>44</v>
      </c>
      <c r="B323" t="s">
        <v>8</v>
      </c>
      <c r="C323">
        <v>1</v>
      </c>
    </row>
    <row r="324" spans="1:3" x14ac:dyDescent="0.25">
      <c r="A324" t="s">
        <v>31</v>
      </c>
      <c r="B324" t="s">
        <v>5</v>
      </c>
      <c r="C324">
        <v>15</v>
      </c>
    </row>
    <row r="325" spans="1:3" x14ac:dyDescent="0.25">
      <c r="A325" t="s">
        <v>31</v>
      </c>
      <c r="B325" t="s">
        <v>8</v>
      </c>
      <c r="C325">
        <v>12</v>
      </c>
    </row>
    <row r="326" spans="1:3" x14ac:dyDescent="0.25">
      <c r="A326" t="s">
        <v>31</v>
      </c>
      <c r="B326" t="s">
        <v>30</v>
      </c>
      <c r="C326">
        <v>1</v>
      </c>
    </row>
    <row r="327" spans="1:3" x14ac:dyDescent="0.25">
      <c r="A327" t="s">
        <v>31</v>
      </c>
      <c r="B327" t="s">
        <v>1</v>
      </c>
      <c r="C327">
        <v>45</v>
      </c>
    </row>
    <row r="328" spans="1:3" x14ac:dyDescent="0.25">
      <c r="A328" t="s">
        <v>31</v>
      </c>
      <c r="B328" t="s">
        <v>2</v>
      </c>
      <c r="C328">
        <v>46</v>
      </c>
    </row>
    <row r="329" spans="1:3" x14ac:dyDescent="0.25">
      <c r="A329" t="s">
        <v>31</v>
      </c>
      <c r="B329" t="s">
        <v>4</v>
      </c>
      <c r="C329">
        <v>22.5</v>
      </c>
    </row>
    <row r="330" spans="1:3" x14ac:dyDescent="0.25">
      <c r="A330" t="s">
        <v>31</v>
      </c>
      <c r="B330" t="s">
        <v>86</v>
      </c>
      <c r="C330">
        <v>22.5</v>
      </c>
    </row>
    <row r="331" spans="1:3" x14ac:dyDescent="0.25">
      <c r="A331" t="s">
        <v>31</v>
      </c>
      <c r="B331" t="s">
        <v>85</v>
      </c>
      <c r="C331">
        <v>46</v>
      </c>
    </row>
    <row r="332" spans="1:3" x14ac:dyDescent="0.25">
      <c r="A332" t="s">
        <v>31</v>
      </c>
      <c r="B332" t="s">
        <v>24</v>
      </c>
      <c r="C332">
        <v>4</v>
      </c>
    </row>
    <row r="333" spans="1:3" x14ac:dyDescent="0.25">
      <c r="A333" t="s">
        <v>25</v>
      </c>
      <c r="B333" t="s">
        <v>8</v>
      </c>
      <c r="C333">
        <v>5.5</v>
      </c>
    </row>
    <row r="334" spans="1:3" x14ac:dyDescent="0.25">
      <c r="A334" t="s">
        <v>25</v>
      </c>
      <c r="B334" t="s">
        <v>24</v>
      </c>
      <c r="C334">
        <v>1</v>
      </c>
    </row>
    <row r="335" spans="1:3" x14ac:dyDescent="0.25">
      <c r="A335" t="s">
        <v>25</v>
      </c>
      <c r="B335" t="s">
        <v>2</v>
      </c>
      <c r="C335">
        <v>11.5</v>
      </c>
    </row>
    <row r="336" spans="1:3" x14ac:dyDescent="0.25">
      <c r="A336" t="s">
        <v>25</v>
      </c>
      <c r="B336" t="s">
        <v>85</v>
      </c>
      <c r="C336">
        <v>11.5</v>
      </c>
    </row>
    <row r="337" spans="1:3" x14ac:dyDescent="0.25">
      <c r="A337" t="s">
        <v>28</v>
      </c>
      <c r="B337" t="s">
        <v>8</v>
      </c>
      <c r="C337">
        <v>11.25</v>
      </c>
    </row>
    <row r="338" spans="1:3" x14ac:dyDescent="0.25">
      <c r="A338" t="s">
        <v>28</v>
      </c>
      <c r="B338" t="s">
        <v>27</v>
      </c>
      <c r="C338">
        <v>1</v>
      </c>
    </row>
    <row r="339" spans="1:3" x14ac:dyDescent="0.25">
      <c r="A339" t="s">
        <v>28</v>
      </c>
      <c r="B339" t="s">
        <v>2</v>
      </c>
      <c r="C339">
        <v>28.75</v>
      </c>
    </row>
    <row r="340" spans="1:3" x14ac:dyDescent="0.25">
      <c r="A340" t="s">
        <v>28</v>
      </c>
      <c r="B340" t="s">
        <v>85</v>
      </c>
      <c r="C340">
        <v>28.75</v>
      </c>
    </row>
    <row r="341" spans="1:3" x14ac:dyDescent="0.25">
      <c r="A341" t="s">
        <v>28</v>
      </c>
      <c r="B341" t="s">
        <v>24</v>
      </c>
      <c r="C341">
        <v>2.5</v>
      </c>
    </row>
    <row r="342" spans="1:3" x14ac:dyDescent="0.25">
      <c r="A342" t="s">
        <v>45</v>
      </c>
      <c r="B342" t="s">
        <v>5</v>
      </c>
      <c r="C342">
        <v>7</v>
      </c>
    </row>
    <row r="343" spans="1:3" x14ac:dyDescent="0.25">
      <c r="A343" t="s">
        <v>45</v>
      </c>
      <c r="B343" t="s">
        <v>44</v>
      </c>
      <c r="C343">
        <v>1</v>
      </c>
    </row>
    <row r="344" spans="1:3" x14ac:dyDescent="0.25">
      <c r="A344" t="s">
        <v>45</v>
      </c>
      <c r="B344" t="s">
        <v>1</v>
      </c>
      <c r="C344">
        <v>21</v>
      </c>
    </row>
    <row r="345" spans="1:3" x14ac:dyDescent="0.25">
      <c r="A345" t="s">
        <v>45</v>
      </c>
      <c r="B345" t="s">
        <v>2</v>
      </c>
      <c r="C345">
        <v>12</v>
      </c>
    </row>
    <row r="346" spans="1:3" x14ac:dyDescent="0.25">
      <c r="A346" t="s">
        <v>45</v>
      </c>
      <c r="B346" t="s">
        <v>4</v>
      </c>
      <c r="C346">
        <v>10.5</v>
      </c>
    </row>
    <row r="347" spans="1:3" x14ac:dyDescent="0.25">
      <c r="A347" t="s">
        <v>45</v>
      </c>
      <c r="B347" t="s">
        <v>86</v>
      </c>
      <c r="C347">
        <v>10.5</v>
      </c>
    </row>
    <row r="348" spans="1:3" x14ac:dyDescent="0.25">
      <c r="A348" t="s">
        <v>45</v>
      </c>
      <c r="B348" t="s">
        <v>85</v>
      </c>
      <c r="C348">
        <v>12</v>
      </c>
    </row>
    <row r="349" spans="1:3" x14ac:dyDescent="0.25">
      <c r="A349" t="s">
        <v>45</v>
      </c>
      <c r="B349" t="s">
        <v>42</v>
      </c>
      <c r="C349">
        <v>1</v>
      </c>
    </row>
    <row r="350" spans="1:3" x14ac:dyDescent="0.25">
      <c r="A350" t="s">
        <v>45</v>
      </c>
      <c r="B350" t="s">
        <v>8</v>
      </c>
      <c r="C350">
        <v>1</v>
      </c>
    </row>
    <row r="351" spans="1:3" x14ac:dyDescent="0.25">
      <c r="A351" t="s">
        <v>71</v>
      </c>
      <c r="B351" t="s">
        <v>2</v>
      </c>
      <c r="C351">
        <v>4</v>
      </c>
    </row>
    <row r="352" spans="1:3" x14ac:dyDescent="0.25">
      <c r="A352" t="s">
        <v>71</v>
      </c>
      <c r="B352" t="s">
        <v>85</v>
      </c>
      <c r="C352">
        <v>4</v>
      </c>
    </row>
    <row r="353" spans="1:3" x14ac:dyDescent="0.25">
      <c r="A353" t="s">
        <v>160</v>
      </c>
      <c r="B353" t="s">
        <v>8</v>
      </c>
      <c r="C353">
        <v>10</v>
      </c>
    </row>
    <row r="354" spans="1:3" x14ac:dyDescent="0.25">
      <c r="A354" t="s">
        <v>160</v>
      </c>
      <c r="B354" t="s">
        <v>23</v>
      </c>
      <c r="C354">
        <v>8</v>
      </c>
    </row>
    <row r="355" spans="1:3" x14ac:dyDescent="0.25">
      <c r="A355" t="s">
        <v>160</v>
      </c>
      <c r="B355" t="s">
        <v>35</v>
      </c>
      <c r="C355">
        <v>31</v>
      </c>
    </row>
    <row r="356" spans="1:3" x14ac:dyDescent="0.25">
      <c r="A356" t="s">
        <v>160</v>
      </c>
      <c r="B356" t="s">
        <v>108</v>
      </c>
      <c r="C356">
        <v>3</v>
      </c>
    </row>
    <row r="357" spans="1:3" x14ac:dyDescent="0.25">
      <c r="A357" t="s">
        <v>160</v>
      </c>
      <c r="B357" t="s">
        <v>2</v>
      </c>
      <c r="C357">
        <v>243</v>
      </c>
    </row>
    <row r="358" spans="1:3" x14ac:dyDescent="0.25">
      <c r="A358" t="s">
        <v>160</v>
      </c>
      <c r="B358" t="s">
        <v>85</v>
      </c>
      <c r="C358">
        <v>243</v>
      </c>
    </row>
    <row r="359" spans="1:3" x14ac:dyDescent="0.25">
      <c r="A359" t="s">
        <v>55</v>
      </c>
      <c r="B359" t="s">
        <v>52</v>
      </c>
      <c r="C359">
        <v>2</v>
      </c>
    </row>
    <row r="360" spans="1:3" x14ac:dyDescent="0.25">
      <c r="A360" t="s">
        <v>55</v>
      </c>
      <c r="B360" t="s">
        <v>54</v>
      </c>
      <c r="C360">
        <v>1</v>
      </c>
    </row>
    <row r="361" spans="1:3" x14ac:dyDescent="0.25">
      <c r="A361" t="s">
        <v>55</v>
      </c>
      <c r="B361" t="s">
        <v>5</v>
      </c>
      <c r="C361">
        <v>5</v>
      </c>
    </row>
    <row r="362" spans="1:3" x14ac:dyDescent="0.25">
      <c r="A362" t="s">
        <v>55</v>
      </c>
      <c r="B362" t="s">
        <v>35</v>
      </c>
      <c r="C362">
        <v>2</v>
      </c>
    </row>
    <row r="363" spans="1:3" x14ac:dyDescent="0.25">
      <c r="A363" t="s">
        <v>55</v>
      </c>
      <c r="B363" t="s">
        <v>4</v>
      </c>
      <c r="C363">
        <v>9.5</v>
      </c>
    </row>
    <row r="364" spans="1:3" x14ac:dyDescent="0.25">
      <c r="A364" t="s">
        <v>55</v>
      </c>
      <c r="B364" t="s">
        <v>2</v>
      </c>
      <c r="C364">
        <v>21.8</v>
      </c>
    </row>
    <row r="365" spans="1:3" x14ac:dyDescent="0.25">
      <c r="A365" t="s">
        <v>55</v>
      </c>
      <c r="B365" t="s">
        <v>62</v>
      </c>
      <c r="C365">
        <v>40</v>
      </c>
    </row>
    <row r="366" spans="1:3" x14ac:dyDescent="0.25">
      <c r="A366" t="s">
        <v>55</v>
      </c>
      <c r="B366" t="s">
        <v>86</v>
      </c>
      <c r="C366">
        <v>9.5</v>
      </c>
    </row>
    <row r="367" spans="1:3" x14ac:dyDescent="0.25">
      <c r="A367" t="s">
        <v>55</v>
      </c>
      <c r="B367" t="s">
        <v>85</v>
      </c>
      <c r="C367">
        <v>21.8</v>
      </c>
    </row>
    <row r="368" spans="1:3" x14ac:dyDescent="0.25">
      <c r="A368" t="s">
        <v>55</v>
      </c>
      <c r="B368" t="s">
        <v>64</v>
      </c>
      <c r="C368">
        <v>4</v>
      </c>
    </row>
    <row r="369" spans="1:3" x14ac:dyDescent="0.25">
      <c r="A369" t="s">
        <v>55</v>
      </c>
      <c r="B369" t="s">
        <v>63</v>
      </c>
      <c r="C369">
        <v>68</v>
      </c>
    </row>
    <row r="370" spans="1:3" x14ac:dyDescent="0.25">
      <c r="A370" t="s">
        <v>55</v>
      </c>
      <c r="B370" t="s">
        <v>65</v>
      </c>
      <c r="C370">
        <v>60</v>
      </c>
    </row>
    <row r="371" spans="1:3" x14ac:dyDescent="0.25">
      <c r="A371" t="s">
        <v>55</v>
      </c>
      <c r="B371" t="s">
        <v>53</v>
      </c>
      <c r="C371">
        <v>1</v>
      </c>
    </row>
    <row r="372" spans="1:3" x14ac:dyDescent="0.25">
      <c r="A372" t="s">
        <v>55</v>
      </c>
      <c r="B372" t="s">
        <v>33</v>
      </c>
      <c r="C372">
        <v>15</v>
      </c>
    </row>
    <row r="373" spans="1:3" x14ac:dyDescent="0.25">
      <c r="A373" t="s">
        <v>55</v>
      </c>
      <c r="B373" t="s">
        <v>1</v>
      </c>
      <c r="C373">
        <v>15</v>
      </c>
    </row>
    <row r="374" spans="1:3" x14ac:dyDescent="0.25">
      <c r="A374" t="s">
        <v>55</v>
      </c>
      <c r="B374" t="s">
        <v>8</v>
      </c>
      <c r="C374">
        <v>1</v>
      </c>
    </row>
    <row r="375" spans="1:3" x14ac:dyDescent="0.25">
      <c r="A375" t="s">
        <v>55</v>
      </c>
      <c r="B375" t="s">
        <v>23</v>
      </c>
      <c r="C375">
        <v>2</v>
      </c>
    </row>
    <row r="376" spans="1:3" x14ac:dyDescent="0.25">
      <c r="A376" t="s">
        <v>55</v>
      </c>
      <c r="B376" t="s">
        <v>207</v>
      </c>
      <c r="C376">
        <v>15</v>
      </c>
    </row>
    <row r="377" spans="1:3" x14ac:dyDescent="0.25">
      <c r="A377" t="s">
        <v>37</v>
      </c>
      <c r="B377" t="s">
        <v>38</v>
      </c>
      <c r="C377">
        <v>10</v>
      </c>
    </row>
    <row r="378" spans="1:3" x14ac:dyDescent="0.25">
      <c r="A378" t="s">
        <v>37</v>
      </c>
      <c r="B378" t="s">
        <v>2</v>
      </c>
      <c r="C378">
        <v>5</v>
      </c>
    </row>
    <row r="379" spans="1:3" x14ac:dyDescent="0.25">
      <c r="A379" t="s">
        <v>37</v>
      </c>
      <c r="B379" t="s">
        <v>85</v>
      </c>
      <c r="C379">
        <v>5</v>
      </c>
    </row>
    <row r="380" spans="1:3" x14ac:dyDescent="0.25">
      <c r="A380" t="s">
        <v>36</v>
      </c>
      <c r="B380" t="s">
        <v>4</v>
      </c>
      <c r="C380">
        <v>10</v>
      </c>
    </row>
    <row r="381" spans="1:3" x14ac:dyDescent="0.25">
      <c r="A381" t="s">
        <v>36</v>
      </c>
      <c r="B381" t="s">
        <v>8</v>
      </c>
      <c r="C381">
        <v>10</v>
      </c>
    </row>
    <row r="382" spans="1:3" x14ac:dyDescent="0.25">
      <c r="A382" t="s">
        <v>36</v>
      </c>
      <c r="B382" t="s">
        <v>2</v>
      </c>
      <c r="C382">
        <v>40</v>
      </c>
    </row>
    <row r="383" spans="1:3" x14ac:dyDescent="0.25">
      <c r="A383" t="s">
        <v>36</v>
      </c>
      <c r="B383" t="s">
        <v>86</v>
      </c>
      <c r="C383">
        <v>10</v>
      </c>
    </row>
    <row r="384" spans="1:3" x14ac:dyDescent="0.25">
      <c r="A384" t="s">
        <v>36</v>
      </c>
      <c r="B384" t="s">
        <v>85</v>
      </c>
      <c r="C384">
        <v>40</v>
      </c>
    </row>
    <row r="385" spans="1:3" x14ac:dyDescent="0.25">
      <c r="A385" t="s">
        <v>167</v>
      </c>
      <c r="B385" t="s">
        <v>146</v>
      </c>
      <c r="C385">
        <v>1</v>
      </c>
    </row>
    <row r="386" spans="1:3" x14ac:dyDescent="0.25">
      <c r="A386" t="s">
        <v>167</v>
      </c>
      <c r="B386" t="s">
        <v>85</v>
      </c>
      <c r="C386">
        <v>0.1</v>
      </c>
    </row>
    <row r="387" spans="1:3" x14ac:dyDescent="0.25">
      <c r="A387" t="s">
        <v>167</v>
      </c>
      <c r="B387" t="s">
        <v>83</v>
      </c>
      <c r="C387">
        <v>0.5</v>
      </c>
    </row>
    <row r="388" spans="1:3" x14ac:dyDescent="0.25">
      <c r="A388" t="s">
        <v>167</v>
      </c>
      <c r="B388" t="s">
        <v>63</v>
      </c>
      <c r="C388">
        <v>10</v>
      </c>
    </row>
    <row r="389" spans="1:3" x14ac:dyDescent="0.25">
      <c r="A389" t="s">
        <v>167</v>
      </c>
      <c r="B389" t="s">
        <v>84</v>
      </c>
      <c r="C389">
        <v>1</v>
      </c>
    </row>
    <row r="390" spans="1:3" x14ac:dyDescent="0.25">
      <c r="A390" t="s">
        <v>147</v>
      </c>
      <c r="B390" t="s">
        <v>4</v>
      </c>
      <c r="C390">
        <v>100</v>
      </c>
    </row>
    <row r="391" spans="1:3" x14ac:dyDescent="0.25">
      <c r="A391" t="s">
        <v>147</v>
      </c>
      <c r="B391" t="s">
        <v>23</v>
      </c>
      <c r="C391">
        <v>10</v>
      </c>
    </row>
    <row r="392" spans="1:3" x14ac:dyDescent="0.25">
      <c r="A392" t="s">
        <v>147</v>
      </c>
      <c r="B392" t="s">
        <v>35</v>
      </c>
      <c r="C392">
        <v>10</v>
      </c>
    </row>
    <row r="393" spans="1:3" x14ac:dyDescent="0.25">
      <c r="A393" t="s">
        <v>147</v>
      </c>
      <c r="B393" t="s">
        <v>86</v>
      </c>
      <c r="C393">
        <v>100</v>
      </c>
    </row>
    <row r="394" spans="1:3" x14ac:dyDescent="0.25">
      <c r="A394" t="s">
        <v>147</v>
      </c>
      <c r="B394" t="s">
        <v>2</v>
      </c>
      <c r="C394">
        <v>60</v>
      </c>
    </row>
    <row r="395" spans="1:3" x14ac:dyDescent="0.25">
      <c r="A395" t="s">
        <v>147</v>
      </c>
      <c r="B395" t="s">
        <v>85</v>
      </c>
      <c r="C395">
        <v>60</v>
      </c>
    </row>
    <row r="396" spans="1:3" x14ac:dyDescent="0.25">
      <c r="A396" t="s">
        <v>148</v>
      </c>
      <c r="B396" t="s">
        <v>4</v>
      </c>
      <c r="C396">
        <v>20</v>
      </c>
    </row>
    <row r="397" spans="1:3" x14ac:dyDescent="0.25">
      <c r="A397" t="s">
        <v>148</v>
      </c>
      <c r="B397" t="s">
        <v>35</v>
      </c>
      <c r="C397">
        <v>10</v>
      </c>
    </row>
    <row r="398" spans="1:3" x14ac:dyDescent="0.25">
      <c r="A398" t="s">
        <v>148</v>
      </c>
      <c r="B398" t="s">
        <v>86</v>
      </c>
      <c r="C398">
        <v>20</v>
      </c>
    </row>
    <row r="399" spans="1:3" x14ac:dyDescent="0.25">
      <c r="A399" t="s">
        <v>148</v>
      </c>
      <c r="B399" t="s">
        <v>2</v>
      </c>
      <c r="C399">
        <v>50</v>
      </c>
    </row>
    <row r="400" spans="1:3" x14ac:dyDescent="0.25">
      <c r="A400" t="s">
        <v>148</v>
      </c>
      <c r="B400" t="s">
        <v>85</v>
      </c>
      <c r="C400">
        <v>50</v>
      </c>
    </row>
    <row r="401" spans="1:3" x14ac:dyDescent="0.25">
      <c r="A401" t="s">
        <v>81</v>
      </c>
      <c r="B401" t="s">
        <v>52</v>
      </c>
      <c r="C401">
        <v>0.5</v>
      </c>
    </row>
    <row r="402" spans="1:3" x14ac:dyDescent="0.25">
      <c r="A402" t="s">
        <v>81</v>
      </c>
      <c r="B402" t="s">
        <v>1</v>
      </c>
      <c r="C402">
        <v>167.5</v>
      </c>
    </row>
    <row r="403" spans="1:3" x14ac:dyDescent="0.25">
      <c r="A403" t="s">
        <v>81</v>
      </c>
      <c r="B403" t="s">
        <v>82</v>
      </c>
      <c r="C403">
        <v>1.5</v>
      </c>
    </row>
    <row r="404" spans="1:3" x14ac:dyDescent="0.25">
      <c r="A404" t="s">
        <v>81</v>
      </c>
      <c r="B404" t="s">
        <v>0</v>
      </c>
      <c r="C404">
        <v>0.5</v>
      </c>
    </row>
    <row r="405" spans="1:3" x14ac:dyDescent="0.25">
      <c r="A405" t="s">
        <v>81</v>
      </c>
      <c r="B405" t="s">
        <v>4</v>
      </c>
      <c r="C405">
        <v>84.25</v>
      </c>
    </row>
    <row r="406" spans="1:3" x14ac:dyDescent="0.25">
      <c r="A406" t="s">
        <v>81</v>
      </c>
      <c r="B406" t="s">
        <v>2</v>
      </c>
      <c r="C406">
        <v>44.350000000000009</v>
      </c>
    </row>
    <row r="407" spans="1:3" x14ac:dyDescent="0.25">
      <c r="A407" t="s">
        <v>81</v>
      </c>
      <c r="B407" t="s">
        <v>62</v>
      </c>
      <c r="C407">
        <v>17.5</v>
      </c>
    </row>
    <row r="408" spans="1:3" x14ac:dyDescent="0.25">
      <c r="A408" t="s">
        <v>81</v>
      </c>
      <c r="B408" t="s">
        <v>86</v>
      </c>
      <c r="C408">
        <v>84.25</v>
      </c>
    </row>
    <row r="409" spans="1:3" x14ac:dyDescent="0.25">
      <c r="A409" t="s">
        <v>81</v>
      </c>
      <c r="B409" t="s">
        <v>85</v>
      </c>
      <c r="C409">
        <v>44.350000000000009</v>
      </c>
    </row>
    <row r="410" spans="1:3" x14ac:dyDescent="0.25">
      <c r="A410" t="s">
        <v>81</v>
      </c>
      <c r="B410" t="s">
        <v>64</v>
      </c>
      <c r="C410">
        <v>1.75</v>
      </c>
    </row>
    <row r="411" spans="1:3" x14ac:dyDescent="0.25">
      <c r="A411" t="s">
        <v>81</v>
      </c>
      <c r="B411" t="s">
        <v>63</v>
      </c>
      <c r="C411">
        <v>29.75</v>
      </c>
    </row>
    <row r="412" spans="1:3" x14ac:dyDescent="0.25">
      <c r="A412" t="s">
        <v>81</v>
      </c>
      <c r="B412" t="s">
        <v>65</v>
      </c>
      <c r="C412">
        <v>136.25</v>
      </c>
    </row>
    <row r="413" spans="1:3" x14ac:dyDescent="0.25">
      <c r="A413" t="s">
        <v>81</v>
      </c>
      <c r="B413" t="s">
        <v>6</v>
      </c>
      <c r="C413">
        <v>5.5</v>
      </c>
    </row>
    <row r="414" spans="1:3" x14ac:dyDescent="0.25">
      <c r="A414" t="s">
        <v>81</v>
      </c>
      <c r="B414" t="s">
        <v>5</v>
      </c>
      <c r="C414">
        <v>43.5</v>
      </c>
    </row>
    <row r="415" spans="1:3" x14ac:dyDescent="0.25">
      <c r="A415" t="s">
        <v>81</v>
      </c>
      <c r="B415" t="s">
        <v>3</v>
      </c>
      <c r="C415">
        <v>11</v>
      </c>
    </row>
    <row r="416" spans="1:3" x14ac:dyDescent="0.25">
      <c r="A416" t="s">
        <v>81</v>
      </c>
      <c r="B416" t="s">
        <v>38</v>
      </c>
      <c r="C416">
        <v>5.5</v>
      </c>
    </row>
    <row r="417" spans="1:3" x14ac:dyDescent="0.25">
      <c r="A417" t="s">
        <v>42</v>
      </c>
      <c r="B417" t="s">
        <v>5</v>
      </c>
      <c r="C417">
        <v>1</v>
      </c>
    </row>
    <row r="418" spans="1:3" x14ac:dyDescent="0.25">
      <c r="A418" t="s">
        <v>42</v>
      </c>
      <c r="B418" t="s">
        <v>8</v>
      </c>
      <c r="C418">
        <v>1</v>
      </c>
    </row>
    <row r="419" spans="1:3" x14ac:dyDescent="0.25">
      <c r="A419" t="s">
        <v>42</v>
      </c>
      <c r="B419" t="s">
        <v>2</v>
      </c>
      <c r="C419">
        <v>4</v>
      </c>
    </row>
    <row r="420" spans="1:3" x14ac:dyDescent="0.25">
      <c r="A420" t="s">
        <v>42</v>
      </c>
      <c r="B420" t="s">
        <v>1</v>
      </c>
      <c r="C420">
        <v>3</v>
      </c>
    </row>
    <row r="421" spans="1:3" x14ac:dyDescent="0.25">
      <c r="A421" t="s">
        <v>42</v>
      </c>
      <c r="B421" t="s">
        <v>4</v>
      </c>
      <c r="C421">
        <v>1.5</v>
      </c>
    </row>
    <row r="422" spans="1:3" x14ac:dyDescent="0.25">
      <c r="A422" t="s">
        <v>42</v>
      </c>
      <c r="B422" t="s">
        <v>86</v>
      </c>
      <c r="C422">
        <v>1.5</v>
      </c>
    </row>
    <row r="423" spans="1:3" x14ac:dyDescent="0.25">
      <c r="A423" t="s">
        <v>42</v>
      </c>
      <c r="B423" t="s">
        <v>85</v>
      </c>
      <c r="C423">
        <v>4</v>
      </c>
    </row>
    <row r="424" spans="1:3" x14ac:dyDescent="0.25">
      <c r="A424" t="s">
        <v>140</v>
      </c>
      <c r="B424" t="s">
        <v>2</v>
      </c>
      <c r="C424">
        <v>5</v>
      </c>
    </row>
    <row r="425" spans="1:3" x14ac:dyDescent="0.25">
      <c r="A425" t="s">
        <v>140</v>
      </c>
      <c r="B425" t="s">
        <v>138</v>
      </c>
      <c r="C425">
        <v>2</v>
      </c>
    </row>
    <row r="426" spans="1:3" x14ac:dyDescent="0.25">
      <c r="A426" t="s">
        <v>140</v>
      </c>
      <c r="B426" t="s">
        <v>85</v>
      </c>
      <c r="C426">
        <v>5</v>
      </c>
    </row>
    <row r="427" spans="1:3" x14ac:dyDescent="0.25">
      <c r="A427" t="s">
        <v>106</v>
      </c>
      <c r="B427" t="s">
        <v>2</v>
      </c>
      <c r="C427">
        <v>8</v>
      </c>
    </row>
    <row r="428" spans="1:3" x14ac:dyDescent="0.25">
      <c r="A428" t="s">
        <v>106</v>
      </c>
      <c r="B428" t="s">
        <v>85</v>
      </c>
      <c r="C428">
        <v>8</v>
      </c>
    </row>
    <row r="429" spans="1:3" x14ac:dyDescent="0.25">
      <c r="A429" t="s">
        <v>8</v>
      </c>
      <c r="B429" t="s">
        <v>2</v>
      </c>
      <c r="C429">
        <v>2</v>
      </c>
    </row>
    <row r="430" spans="1:3" x14ac:dyDescent="0.25">
      <c r="A430" t="s">
        <v>8</v>
      </c>
      <c r="B430" t="s">
        <v>85</v>
      </c>
      <c r="C430">
        <v>2</v>
      </c>
    </row>
    <row r="431" spans="1:3" x14ac:dyDescent="0.25">
      <c r="A431" t="s">
        <v>2</v>
      </c>
      <c r="B431" t="s">
        <v>85</v>
      </c>
      <c r="C431">
        <v>1</v>
      </c>
    </row>
    <row r="432" spans="1:3" x14ac:dyDescent="0.25">
      <c r="A432" t="s">
        <v>138</v>
      </c>
      <c r="B432" t="s">
        <v>2</v>
      </c>
      <c r="C432">
        <v>1</v>
      </c>
    </row>
    <row r="433" spans="1:3" x14ac:dyDescent="0.25">
      <c r="A433" t="s">
        <v>138</v>
      </c>
      <c r="B433" t="s">
        <v>85</v>
      </c>
      <c r="C433">
        <v>1</v>
      </c>
    </row>
    <row r="434" spans="1:3" x14ac:dyDescent="0.25">
      <c r="A434" t="s">
        <v>150</v>
      </c>
      <c r="B434" t="s">
        <v>5</v>
      </c>
      <c r="C434">
        <v>10</v>
      </c>
    </row>
    <row r="435" spans="1:3" x14ac:dyDescent="0.25">
      <c r="A435" t="s">
        <v>150</v>
      </c>
      <c r="B435" t="s">
        <v>8</v>
      </c>
      <c r="C435">
        <v>12</v>
      </c>
    </row>
    <row r="436" spans="1:3" x14ac:dyDescent="0.25">
      <c r="A436" t="s">
        <v>150</v>
      </c>
      <c r="B436" t="s">
        <v>24</v>
      </c>
      <c r="C436">
        <v>4</v>
      </c>
    </row>
    <row r="437" spans="1:3" x14ac:dyDescent="0.25">
      <c r="A437" t="s">
        <v>150</v>
      </c>
      <c r="B437" t="s">
        <v>1</v>
      </c>
      <c r="C437">
        <v>30</v>
      </c>
    </row>
    <row r="438" spans="1:3" x14ac:dyDescent="0.25">
      <c r="A438" t="s">
        <v>150</v>
      </c>
      <c r="B438" t="s">
        <v>2</v>
      </c>
      <c r="C438">
        <v>36</v>
      </c>
    </row>
    <row r="439" spans="1:3" x14ac:dyDescent="0.25">
      <c r="A439" t="s">
        <v>150</v>
      </c>
      <c r="B439" t="s">
        <v>4</v>
      </c>
      <c r="C439">
        <v>15</v>
      </c>
    </row>
    <row r="440" spans="1:3" x14ac:dyDescent="0.25">
      <c r="A440" t="s">
        <v>150</v>
      </c>
      <c r="B440" t="s">
        <v>86</v>
      </c>
      <c r="C440">
        <v>15</v>
      </c>
    </row>
    <row r="441" spans="1:3" x14ac:dyDescent="0.25">
      <c r="A441" t="s">
        <v>150</v>
      </c>
      <c r="B441" t="s">
        <v>85</v>
      </c>
      <c r="C441">
        <v>36</v>
      </c>
    </row>
    <row r="442" spans="1:3" x14ac:dyDescent="0.25">
      <c r="A442" t="s">
        <v>168</v>
      </c>
      <c r="B442" t="s">
        <v>84</v>
      </c>
      <c r="C442">
        <v>20</v>
      </c>
    </row>
    <row r="443" spans="1:3" x14ac:dyDescent="0.25">
      <c r="A443" t="s">
        <v>111</v>
      </c>
      <c r="B443" t="s">
        <v>52</v>
      </c>
      <c r="C443">
        <v>12</v>
      </c>
    </row>
    <row r="444" spans="1:3" x14ac:dyDescent="0.25">
      <c r="A444" t="s">
        <v>111</v>
      </c>
      <c r="B444" t="s">
        <v>5</v>
      </c>
      <c r="C444">
        <v>20</v>
      </c>
    </row>
    <row r="445" spans="1:3" x14ac:dyDescent="0.25">
      <c r="A445" t="s">
        <v>111</v>
      </c>
      <c r="B445" t="s">
        <v>35</v>
      </c>
      <c r="C445">
        <v>20</v>
      </c>
    </row>
    <row r="446" spans="1:3" x14ac:dyDescent="0.25">
      <c r="A446" t="s">
        <v>111</v>
      </c>
      <c r="B446" t="s">
        <v>4</v>
      </c>
      <c r="C446">
        <v>42</v>
      </c>
    </row>
    <row r="447" spans="1:3" x14ac:dyDescent="0.25">
      <c r="A447" t="s">
        <v>111</v>
      </c>
      <c r="B447" t="s">
        <v>2</v>
      </c>
      <c r="C447">
        <v>136.80000000000001</v>
      </c>
    </row>
    <row r="448" spans="1:3" x14ac:dyDescent="0.25">
      <c r="A448" t="s">
        <v>111</v>
      </c>
      <c r="B448" t="s">
        <v>62</v>
      </c>
      <c r="C448">
        <v>240</v>
      </c>
    </row>
    <row r="449" spans="1:3" x14ac:dyDescent="0.25">
      <c r="A449" t="s">
        <v>111</v>
      </c>
      <c r="B449" t="s">
        <v>86</v>
      </c>
      <c r="C449">
        <v>42</v>
      </c>
    </row>
    <row r="450" spans="1:3" x14ac:dyDescent="0.25">
      <c r="A450" t="s">
        <v>111</v>
      </c>
      <c r="B450" t="s">
        <v>85</v>
      </c>
      <c r="C450">
        <v>136.80000000000001</v>
      </c>
    </row>
    <row r="451" spans="1:3" x14ac:dyDescent="0.25">
      <c r="A451" t="s">
        <v>111</v>
      </c>
      <c r="B451" t="s">
        <v>64</v>
      </c>
      <c r="C451">
        <v>24</v>
      </c>
    </row>
    <row r="452" spans="1:3" x14ac:dyDescent="0.25">
      <c r="A452" t="s">
        <v>111</v>
      </c>
      <c r="B452" t="s">
        <v>63</v>
      </c>
      <c r="C452">
        <v>408</v>
      </c>
    </row>
    <row r="453" spans="1:3" x14ac:dyDescent="0.25">
      <c r="A453" t="s">
        <v>111</v>
      </c>
      <c r="B453" t="s">
        <v>65</v>
      </c>
      <c r="C453">
        <v>360</v>
      </c>
    </row>
    <row r="454" spans="1:3" x14ac:dyDescent="0.25">
      <c r="A454" t="s">
        <v>111</v>
      </c>
      <c r="B454" t="s">
        <v>1</v>
      </c>
      <c r="C454">
        <v>60</v>
      </c>
    </row>
    <row r="455" spans="1:3" x14ac:dyDescent="0.25">
      <c r="A455" t="s">
        <v>158</v>
      </c>
      <c r="B455" t="s">
        <v>5</v>
      </c>
      <c r="C455">
        <v>20</v>
      </c>
    </row>
    <row r="456" spans="1:3" x14ac:dyDescent="0.25">
      <c r="A456" t="s">
        <v>158</v>
      </c>
      <c r="B456" t="s">
        <v>53</v>
      </c>
      <c r="C456">
        <v>20</v>
      </c>
    </row>
    <row r="457" spans="1:3" x14ac:dyDescent="0.25">
      <c r="A457" t="s">
        <v>158</v>
      </c>
      <c r="B457" t="s">
        <v>35</v>
      </c>
      <c r="C457">
        <v>50</v>
      </c>
    </row>
    <row r="458" spans="1:3" x14ac:dyDescent="0.25">
      <c r="A458" t="s">
        <v>158</v>
      </c>
      <c r="B458" t="s">
        <v>1</v>
      </c>
      <c r="C458">
        <v>60</v>
      </c>
    </row>
    <row r="459" spans="1:3" x14ac:dyDescent="0.25">
      <c r="A459" t="s">
        <v>158</v>
      </c>
      <c r="B459" t="s">
        <v>2</v>
      </c>
      <c r="C459">
        <v>350</v>
      </c>
    </row>
    <row r="460" spans="1:3" x14ac:dyDescent="0.25">
      <c r="A460" t="s">
        <v>158</v>
      </c>
      <c r="B460" t="s">
        <v>4</v>
      </c>
      <c r="C460">
        <v>30</v>
      </c>
    </row>
    <row r="461" spans="1:3" x14ac:dyDescent="0.25">
      <c r="A461" t="s">
        <v>158</v>
      </c>
      <c r="B461" t="s">
        <v>86</v>
      </c>
      <c r="C461">
        <v>30</v>
      </c>
    </row>
    <row r="462" spans="1:3" x14ac:dyDescent="0.25">
      <c r="A462" t="s">
        <v>158</v>
      </c>
      <c r="B462" t="s">
        <v>85</v>
      </c>
      <c r="C462">
        <v>350</v>
      </c>
    </row>
    <row r="463" spans="1:3" x14ac:dyDescent="0.25">
      <c r="A463" t="s">
        <v>158</v>
      </c>
      <c r="B463" t="s">
        <v>8</v>
      </c>
      <c r="C463">
        <v>20</v>
      </c>
    </row>
    <row r="464" spans="1:3" x14ac:dyDescent="0.25">
      <c r="A464" t="s">
        <v>158</v>
      </c>
      <c r="B464" t="s">
        <v>23</v>
      </c>
      <c r="C464">
        <v>40</v>
      </c>
    </row>
    <row r="465" spans="1:3" x14ac:dyDescent="0.25">
      <c r="A465" t="s">
        <v>57</v>
      </c>
      <c r="B465" t="s">
        <v>6</v>
      </c>
      <c r="C465">
        <v>2</v>
      </c>
    </row>
    <row r="466" spans="1:3" x14ac:dyDescent="0.25">
      <c r="A466" t="s">
        <v>57</v>
      </c>
      <c r="B466" t="s">
        <v>55</v>
      </c>
      <c r="C466">
        <v>1</v>
      </c>
    </row>
    <row r="467" spans="1:3" x14ac:dyDescent="0.25">
      <c r="A467" t="s">
        <v>57</v>
      </c>
      <c r="B467" t="s">
        <v>1</v>
      </c>
      <c r="C467">
        <v>35</v>
      </c>
    </row>
    <row r="468" spans="1:3" x14ac:dyDescent="0.25">
      <c r="A468" t="s">
        <v>57</v>
      </c>
      <c r="B468" t="s">
        <v>5</v>
      </c>
      <c r="C468">
        <v>9</v>
      </c>
    </row>
    <row r="469" spans="1:3" x14ac:dyDescent="0.25">
      <c r="A469" t="s">
        <v>57</v>
      </c>
      <c r="B469" t="s">
        <v>3</v>
      </c>
      <c r="C469">
        <v>4</v>
      </c>
    </row>
    <row r="470" spans="1:3" x14ac:dyDescent="0.25">
      <c r="A470" t="s">
        <v>57</v>
      </c>
      <c r="B470" t="s">
        <v>4</v>
      </c>
      <c r="C470">
        <v>19.5</v>
      </c>
    </row>
    <row r="471" spans="1:3" x14ac:dyDescent="0.25">
      <c r="A471" t="s">
        <v>57</v>
      </c>
      <c r="B471" t="s">
        <v>86</v>
      </c>
      <c r="C471">
        <v>19.5</v>
      </c>
    </row>
    <row r="472" spans="1:3" x14ac:dyDescent="0.25">
      <c r="A472" t="s">
        <v>57</v>
      </c>
      <c r="B472" t="s">
        <v>2</v>
      </c>
      <c r="C472">
        <v>25.8</v>
      </c>
    </row>
    <row r="473" spans="1:3" x14ac:dyDescent="0.25">
      <c r="A473" t="s">
        <v>57</v>
      </c>
      <c r="B473" t="s">
        <v>85</v>
      </c>
      <c r="C473">
        <v>25.8</v>
      </c>
    </row>
    <row r="474" spans="1:3" x14ac:dyDescent="0.25">
      <c r="A474" t="s">
        <v>57</v>
      </c>
      <c r="B474" t="s">
        <v>38</v>
      </c>
      <c r="C474">
        <v>2</v>
      </c>
    </row>
    <row r="475" spans="1:3" x14ac:dyDescent="0.25">
      <c r="A475" t="s">
        <v>57</v>
      </c>
      <c r="B475" t="s">
        <v>65</v>
      </c>
      <c r="C475">
        <v>100</v>
      </c>
    </row>
    <row r="476" spans="1:3" x14ac:dyDescent="0.25">
      <c r="A476" t="s">
        <v>57</v>
      </c>
      <c r="B476" t="s">
        <v>52</v>
      </c>
      <c r="C476">
        <v>2</v>
      </c>
    </row>
    <row r="477" spans="1:3" x14ac:dyDescent="0.25">
      <c r="A477" t="s">
        <v>57</v>
      </c>
      <c r="B477" t="s">
        <v>54</v>
      </c>
      <c r="C477">
        <v>1</v>
      </c>
    </row>
    <row r="478" spans="1:3" x14ac:dyDescent="0.25">
      <c r="A478" t="s">
        <v>57</v>
      </c>
      <c r="B478" t="s">
        <v>35</v>
      </c>
      <c r="C478">
        <v>2</v>
      </c>
    </row>
    <row r="479" spans="1:3" x14ac:dyDescent="0.25">
      <c r="A479" t="s">
        <v>57</v>
      </c>
      <c r="B479" t="s">
        <v>62</v>
      </c>
      <c r="C479">
        <v>40</v>
      </c>
    </row>
    <row r="480" spans="1:3" x14ac:dyDescent="0.25">
      <c r="A480" t="s">
        <v>57</v>
      </c>
      <c r="B480" t="s">
        <v>64</v>
      </c>
      <c r="C480">
        <v>4</v>
      </c>
    </row>
    <row r="481" spans="1:3" x14ac:dyDescent="0.25">
      <c r="A481" t="s">
        <v>57</v>
      </c>
      <c r="B481" t="s">
        <v>63</v>
      </c>
      <c r="C481">
        <v>68</v>
      </c>
    </row>
    <row r="482" spans="1:3" x14ac:dyDescent="0.25">
      <c r="A482" t="s">
        <v>57</v>
      </c>
      <c r="B482" t="s">
        <v>53</v>
      </c>
      <c r="C482">
        <v>1</v>
      </c>
    </row>
    <row r="483" spans="1:3" x14ac:dyDescent="0.25">
      <c r="A483" t="s">
        <v>57</v>
      </c>
      <c r="B483" t="s">
        <v>33</v>
      </c>
      <c r="C483">
        <v>15</v>
      </c>
    </row>
    <row r="484" spans="1:3" x14ac:dyDescent="0.25">
      <c r="A484" t="s">
        <v>57</v>
      </c>
      <c r="B484" t="s">
        <v>8</v>
      </c>
      <c r="C484">
        <v>1</v>
      </c>
    </row>
    <row r="485" spans="1:3" x14ac:dyDescent="0.25">
      <c r="A485" t="s">
        <v>57</v>
      </c>
      <c r="B485" t="s">
        <v>23</v>
      </c>
      <c r="C485">
        <v>2</v>
      </c>
    </row>
    <row r="486" spans="1:3" x14ac:dyDescent="0.25">
      <c r="A486" t="s">
        <v>57</v>
      </c>
      <c r="B486" t="s">
        <v>207</v>
      </c>
      <c r="C486">
        <v>15</v>
      </c>
    </row>
    <row r="487" spans="1:3" x14ac:dyDescent="0.25">
      <c r="A487" t="s">
        <v>43</v>
      </c>
      <c r="B487" t="s">
        <v>42</v>
      </c>
      <c r="C487">
        <v>1</v>
      </c>
    </row>
    <row r="488" spans="1:3" x14ac:dyDescent="0.25">
      <c r="A488" t="s">
        <v>43</v>
      </c>
      <c r="B488" t="s">
        <v>8</v>
      </c>
      <c r="C488">
        <v>2</v>
      </c>
    </row>
    <row r="489" spans="1:3" x14ac:dyDescent="0.25">
      <c r="A489" t="s">
        <v>43</v>
      </c>
      <c r="B489" t="s">
        <v>2</v>
      </c>
      <c r="C489">
        <v>7</v>
      </c>
    </row>
    <row r="490" spans="1:3" x14ac:dyDescent="0.25">
      <c r="A490" t="s">
        <v>43</v>
      </c>
      <c r="B490" t="s">
        <v>5</v>
      </c>
      <c r="C490">
        <v>1</v>
      </c>
    </row>
    <row r="491" spans="1:3" x14ac:dyDescent="0.25">
      <c r="A491" t="s">
        <v>43</v>
      </c>
      <c r="B491" t="s">
        <v>1</v>
      </c>
      <c r="C491">
        <v>3</v>
      </c>
    </row>
    <row r="492" spans="1:3" x14ac:dyDescent="0.25">
      <c r="A492" t="s">
        <v>43</v>
      </c>
      <c r="B492" t="s">
        <v>4</v>
      </c>
      <c r="C492">
        <v>1.5</v>
      </c>
    </row>
    <row r="493" spans="1:3" x14ac:dyDescent="0.25">
      <c r="A493" t="s">
        <v>43</v>
      </c>
      <c r="B493" t="s">
        <v>86</v>
      </c>
      <c r="C493">
        <v>1.5</v>
      </c>
    </row>
    <row r="494" spans="1:3" x14ac:dyDescent="0.25">
      <c r="A494" t="s">
        <v>43</v>
      </c>
      <c r="B494" t="s">
        <v>85</v>
      </c>
      <c r="C494">
        <v>7</v>
      </c>
    </row>
    <row r="495" spans="1:3" x14ac:dyDescent="0.25">
      <c r="A495" t="s">
        <v>129</v>
      </c>
      <c r="B495" t="s">
        <v>4</v>
      </c>
      <c r="C495">
        <v>5</v>
      </c>
    </row>
    <row r="496" spans="1:3" x14ac:dyDescent="0.25">
      <c r="A496" t="s">
        <v>129</v>
      </c>
      <c r="B496" t="s">
        <v>3</v>
      </c>
      <c r="C496">
        <v>5</v>
      </c>
    </row>
    <row r="497" spans="1:3" x14ac:dyDescent="0.25">
      <c r="A497" t="s">
        <v>129</v>
      </c>
      <c r="B497" t="s">
        <v>35</v>
      </c>
      <c r="C497">
        <v>10</v>
      </c>
    </row>
    <row r="498" spans="1:3" x14ac:dyDescent="0.25">
      <c r="A498" t="s">
        <v>129</v>
      </c>
      <c r="B498" t="s">
        <v>86</v>
      </c>
      <c r="C498">
        <v>5</v>
      </c>
    </row>
    <row r="499" spans="1:3" x14ac:dyDescent="0.25">
      <c r="A499" t="s">
        <v>129</v>
      </c>
      <c r="B499" t="s">
        <v>38</v>
      </c>
      <c r="C499">
        <v>2.5</v>
      </c>
    </row>
    <row r="500" spans="1:3" x14ac:dyDescent="0.25">
      <c r="A500" t="s">
        <v>129</v>
      </c>
      <c r="B500" t="s">
        <v>65</v>
      </c>
      <c r="C500">
        <v>50</v>
      </c>
    </row>
    <row r="501" spans="1:3" x14ac:dyDescent="0.25">
      <c r="A501" t="s">
        <v>129</v>
      </c>
      <c r="B501" t="s">
        <v>2</v>
      </c>
      <c r="C501">
        <v>50</v>
      </c>
    </row>
    <row r="502" spans="1:3" x14ac:dyDescent="0.25">
      <c r="A502" t="s">
        <v>129</v>
      </c>
      <c r="B502" t="s">
        <v>85</v>
      </c>
      <c r="C502">
        <v>50</v>
      </c>
    </row>
    <row r="503" spans="1:3" x14ac:dyDescent="0.25">
      <c r="A503" t="s">
        <v>33</v>
      </c>
      <c r="B503" t="s">
        <v>207</v>
      </c>
      <c r="C503">
        <v>1</v>
      </c>
    </row>
    <row r="504" spans="1:3" x14ac:dyDescent="0.25">
      <c r="A504" t="s">
        <v>39</v>
      </c>
      <c r="B504" t="s">
        <v>4</v>
      </c>
      <c r="C504">
        <v>2</v>
      </c>
    </row>
    <row r="505" spans="1:3" x14ac:dyDescent="0.25">
      <c r="A505" t="s">
        <v>39</v>
      </c>
      <c r="B505" t="s">
        <v>35</v>
      </c>
      <c r="C505">
        <v>2</v>
      </c>
    </row>
    <row r="506" spans="1:3" x14ac:dyDescent="0.25">
      <c r="A506" t="s">
        <v>39</v>
      </c>
      <c r="B506" t="s">
        <v>86</v>
      </c>
      <c r="C506">
        <v>2</v>
      </c>
    </row>
    <row r="507" spans="1:3" x14ac:dyDescent="0.25">
      <c r="A507" t="s">
        <v>39</v>
      </c>
      <c r="B507" t="s">
        <v>2</v>
      </c>
      <c r="C507">
        <v>10</v>
      </c>
    </row>
    <row r="508" spans="1:3" x14ac:dyDescent="0.25">
      <c r="A508" t="s">
        <v>39</v>
      </c>
      <c r="B508" t="s">
        <v>85</v>
      </c>
      <c r="C508">
        <v>10</v>
      </c>
    </row>
    <row r="509" spans="1:3" x14ac:dyDescent="0.25">
      <c r="A509" t="s">
        <v>70</v>
      </c>
      <c r="B509" t="s">
        <v>37</v>
      </c>
      <c r="C509">
        <v>0.5</v>
      </c>
    </row>
    <row r="510" spans="1:3" x14ac:dyDescent="0.25">
      <c r="A510" t="s">
        <v>70</v>
      </c>
      <c r="B510" t="s">
        <v>36</v>
      </c>
      <c r="C510">
        <v>0.5</v>
      </c>
    </row>
    <row r="511" spans="1:3" x14ac:dyDescent="0.25">
      <c r="A511" t="s">
        <v>70</v>
      </c>
      <c r="B511" t="s">
        <v>34</v>
      </c>
      <c r="C511">
        <v>0.5</v>
      </c>
    </row>
    <row r="512" spans="1:3" x14ac:dyDescent="0.25">
      <c r="A512" t="s">
        <v>70</v>
      </c>
      <c r="B512" t="s">
        <v>38</v>
      </c>
      <c r="C512">
        <v>5</v>
      </c>
    </row>
    <row r="513" spans="1:3" x14ac:dyDescent="0.25">
      <c r="A513" t="s">
        <v>70</v>
      </c>
      <c r="B513" t="s">
        <v>2</v>
      </c>
      <c r="C513">
        <v>27</v>
      </c>
    </row>
    <row r="514" spans="1:3" x14ac:dyDescent="0.25">
      <c r="A514" t="s">
        <v>70</v>
      </c>
      <c r="B514" t="s">
        <v>85</v>
      </c>
      <c r="C514">
        <v>27</v>
      </c>
    </row>
    <row r="515" spans="1:3" x14ac:dyDescent="0.25">
      <c r="A515" t="s">
        <v>70</v>
      </c>
      <c r="B515" t="s">
        <v>4</v>
      </c>
      <c r="C515">
        <v>7.5</v>
      </c>
    </row>
    <row r="516" spans="1:3" x14ac:dyDescent="0.25">
      <c r="A516" t="s">
        <v>70</v>
      </c>
      <c r="B516" t="s">
        <v>8</v>
      </c>
      <c r="C516">
        <v>5</v>
      </c>
    </row>
    <row r="517" spans="1:3" x14ac:dyDescent="0.25">
      <c r="A517" t="s">
        <v>70</v>
      </c>
      <c r="B517" t="s">
        <v>86</v>
      </c>
      <c r="C517">
        <v>7.5</v>
      </c>
    </row>
    <row r="518" spans="1:3" x14ac:dyDescent="0.25">
      <c r="A518" t="s">
        <v>70</v>
      </c>
      <c r="B518" t="s">
        <v>71</v>
      </c>
      <c r="C518">
        <v>0.5</v>
      </c>
    </row>
    <row r="519" spans="1:3" x14ac:dyDescent="0.25">
      <c r="A519" t="s">
        <v>70</v>
      </c>
      <c r="B519" t="s">
        <v>35</v>
      </c>
      <c r="C519">
        <v>0.5</v>
      </c>
    </row>
    <row r="520" spans="1:3" x14ac:dyDescent="0.25">
      <c r="A520" t="s">
        <v>145</v>
      </c>
      <c r="B520" t="s">
        <v>6</v>
      </c>
      <c r="C520">
        <v>500</v>
      </c>
    </row>
    <row r="521" spans="1:3" x14ac:dyDescent="0.25">
      <c r="A521" t="s">
        <v>145</v>
      </c>
      <c r="B521" t="s">
        <v>146</v>
      </c>
      <c r="C521">
        <v>500</v>
      </c>
    </row>
    <row r="522" spans="1:3" x14ac:dyDescent="0.25">
      <c r="A522" t="s">
        <v>145</v>
      </c>
      <c r="B522" t="s">
        <v>4</v>
      </c>
      <c r="C522">
        <v>3000</v>
      </c>
    </row>
    <row r="523" spans="1:3" x14ac:dyDescent="0.25">
      <c r="A523" t="s">
        <v>145</v>
      </c>
      <c r="B523" t="s">
        <v>35</v>
      </c>
      <c r="C523">
        <v>500</v>
      </c>
    </row>
    <row r="524" spans="1:3" x14ac:dyDescent="0.25">
      <c r="A524" t="s">
        <v>145</v>
      </c>
      <c r="B524" t="s">
        <v>1</v>
      </c>
      <c r="C524">
        <v>5000</v>
      </c>
    </row>
    <row r="525" spans="1:3" x14ac:dyDescent="0.25">
      <c r="A525" t="s">
        <v>145</v>
      </c>
      <c r="B525" t="s">
        <v>5</v>
      </c>
      <c r="C525">
        <v>1000</v>
      </c>
    </row>
    <row r="526" spans="1:3" x14ac:dyDescent="0.25">
      <c r="A526" t="s">
        <v>145</v>
      </c>
      <c r="B526" t="s">
        <v>3</v>
      </c>
      <c r="C526">
        <v>1000</v>
      </c>
    </row>
    <row r="527" spans="1:3" x14ac:dyDescent="0.25">
      <c r="A527" t="s">
        <v>145</v>
      </c>
      <c r="B527" t="s">
        <v>86</v>
      </c>
      <c r="C527">
        <v>3000</v>
      </c>
    </row>
    <row r="528" spans="1:3" x14ac:dyDescent="0.25">
      <c r="A528" t="s">
        <v>145</v>
      </c>
      <c r="B528" t="s">
        <v>2</v>
      </c>
      <c r="C528">
        <v>3500</v>
      </c>
    </row>
    <row r="529" spans="1:3" x14ac:dyDescent="0.25">
      <c r="A529" t="s">
        <v>145</v>
      </c>
      <c r="B529" t="s">
        <v>85</v>
      </c>
      <c r="C529">
        <v>3550</v>
      </c>
    </row>
    <row r="530" spans="1:3" x14ac:dyDescent="0.25">
      <c r="A530" t="s">
        <v>145</v>
      </c>
      <c r="B530" t="s">
        <v>38</v>
      </c>
      <c r="C530">
        <v>500</v>
      </c>
    </row>
    <row r="531" spans="1:3" x14ac:dyDescent="0.25">
      <c r="A531" t="s">
        <v>145</v>
      </c>
      <c r="B531" t="s">
        <v>65</v>
      </c>
      <c r="C531">
        <v>10000</v>
      </c>
    </row>
    <row r="532" spans="1:3" x14ac:dyDescent="0.25">
      <c r="A532" t="s">
        <v>145</v>
      </c>
      <c r="B532" t="s">
        <v>83</v>
      </c>
      <c r="C532">
        <v>250</v>
      </c>
    </row>
    <row r="533" spans="1:3" x14ac:dyDescent="0.25">
      <c r="A533" t="s">
        <v>145</v>
      </c>
      <c r="B533" t="s">
        <v>63</v>
      </c>
      <c r="C533">
        <v>5000</v>
      </c>
    </row>
    <row r="534" spans="1:3" x14ac:dyDescent="0.25">
      <c r="A534" t="s">
        <v>145</v>
      </c>
      <c r="B534" t="s">
        <v>84</v>
      </c>
      <c r="C534">
        <v>500</v>
      </c>
    </row>
    <row r="535" spans="1:3" x14ac:dyDescent="0.25">
      <c r="A535" t="s">
        <v>102</v>
      </c>
      <c r="B535" t="s">
        <v>5</v>
      </c>
      <c r="C535">
        <v>2</v>
      </c>
    </row>
    <row r="536" spans="1:3" x14ac:dyDescent="0.25">
      <c r="A536" t="s">
        <v>102</v>
      </c>
      <c r="B536" t="s">
        <v>8</v>
      </c>
      <c r="C536">
        <v>1</v>
      </c>
    </row>
    <row r="537" spans="1:3" x14ac:dyDescent="0.25">
      <c r="A537" t="s">
        <v>102</v>
      </c>
      <c r="B537" t="s">
        <v>23</v>
      </c>
      <c r="C537">
        <v>1</v>
      </c>
    </row>
    <row r="538" spans="1:3" x14ac:dyDescent="0.25">
      <c r="A538" t="s">
        <v>102</v>
      </c>
      <c r="B538" t="s">
        <v>1</v>
      </c>
      <c r="C538">
        <v>6</v>
      </c>
    </row>
    <row r="539" spans="1:3" x14ac:dyDescent="0.25">
      <c r="A539" t="s">
        <v>102</v>
      </c>
      <c r="B539" t="s">
        <v>2</v>
      </c>
      <c r="C539">
        <v>5</v>
      </c>
    </row>
    <row r="540" spans="1:3" x14ac:dyDescent="0.25">
      <c r="A540" t="s">
        <v>102</v>
      </c>
      <c r="B540" t="s">
        <v>4</v>
      </c>
      <c r="C540">
        <v>3</v>
      </c>
    </row>
    <row r="541" spans="1:3" x14ac:dyDescent="0.25">
      <c r="A541" t="s">
        <v>102</v>
      </c>
      <c r="B541" t="s">
        <v>86</v>
      </c>
      <c r="C541">
        <v>3</v>
      </c>
    </row>
    <row r="542" spans="1:3" x14ac:dyDescent="0.25">
      <c r="A542" t="s">
        <v>102</v>
      </c>
      <c r="B542" t="s">
        <v>85</v>
      </c>
      <c r="C542">
        <v>5</v>
      </c>
    </row>
    <row r="543" spans="1:3" x14ac:dyDescent="0.25">
      <c r="A543" t="s">
        <v>66</v>
      </c>
      <c r="B543" t="s">
        <v>5</v>
      </c>
      <c r="C543">
        <v>10</v>
      </c>
    </row>
    <row r="544" spans="1:3" x14ac:dyDescent="0.25">
      <c r="A544" t="s">
        <v>66</v>
      </c>
      <c r="B544" t="s">
        <v>8</v>
      </c>
      <c r="C544">
        <v>10</v>
      </c>
    </row>
    <row r="545" spans="1:3" x14ac:dyDescent="0.25">
      <c r="A545" t="s">
        <v>66</v>
      </c>
      <c r="B545" t="s">
        <v>23</v>
      </c>
      <c r="C545">
        <v>10</v>
      </c>
    </row>
    <row r="546" spans="1:3" x14ac:dyDescent="0.25">
      <c r="A546" t="s">
        <v>66</v>
      </c>
      <c r="B546" t="s">
        <v>35</v>
      </c>
      <c r="C546">
        <v>15</v>
      </c>
    </row>
    <row r="547" spans="1:3" x14ac:dyDescent="0.25">
      <c r="A547" t="s">
        <v>66</v>
      </c>
      <c r="B547" t="s">
        <v>83</v>
      </c>
      <c r="C547">
        <v>10</v>
      </c>
    </row>
    <row r="548" spans="1:3" x14ac:dyDescent="0.25">
      <c r="A548" t="s">
        <v>66</v>
      </c>
      <c r="B548" t="s">
        <v>1</v>
      </c>
      <c r="C548">
        <v>30</v>
      </c>
    </row>
    <row r="549" spans="1:3" x14ac:dyDescent="0.25">
      <c r="A549" t="s">
        <v>66</v>
      </c>
      <c r="B549" t="s">
        <v>2</v>
      </c>
      <c r="C549">
        <v>115</v>
      </c>
    </row>
    <row r="550" spans="1:3" x14ac:dyDescent="0.25">
      <c r="A550" t="s">
        <v>66</v>
      </c>
      <c r="B550" t="s">
        <v>4</v>
      </c>
      <c r="C550">
        <v>15</v>
      </c>
    </row>
    <row r="551" spans="1:3" x14ac:dyDescent="0.25">
      <c r="A551" t="s">
        <v>66</v>
      </c>
      <c r="B551" t="s">
        <v>86</v>
      </c>
      <c r="C551">
        <v>15</v>
      </c>
    </row>
    <row r="552" spans="1:3" x14ac:dyDescent="0.25">
      <c r="A552" t="s">
        <v>66</v>
      </c>
      <c r="B552" t="s">
        <v>85</v>
      </c>
      <c r="C552">
        <v>115</v>
      </c>
    </row>
    <row r="553" spans="1:3" x14ac:dyDescent="0.25">
      <c r="A553" t="s">
        <v>66</v>
      </c>
      <c r="B553" t="s">
        <v>84</v>
      </c>
      <c r="C553">
        <v>20</v>
      </c>
    </row>
    <row r="554" spans="1:3" x14ac:dyDescent="0.25">
      <c r="A554" t="s">
        <v>164</v>
      </c>
      <c r="B554" t="s">
        <v>6</v>
      </c>
      <c r="C554">
        <v>1</v>
      </c>
    </row>
    <row r="555" spans="1:3" x14ac:dyDescent="0.25">
      <c r="A555" t="s">
        <v>164</v>
      </c>
      <c r="B555" t="s">
        <v>5</v>
      </c>
      <c r="C555">
        <v>5</v>
      </c>
    </row>
    <row r="556" spans="1:3" x14ac:dyDescent="0.25">
      <c r="A556" t="s">
        <v>164</v>
      </c>
      <c r="B556" t="s">
        <v>107</v>
      </c>
      <c r="C556">
        <v>1</v>
      </c>
    </row>
    <row r="557" spans="1:3" x14ac:dyDescent="0.25">
      <c r="A557" t="s">
        <v>164</v>
      </c>
      <c r="B557" t="s">
        <v>1</v>
      </c>
      <c r="C557">
        <v>19</v>
      </c>
    </row>
    <row r="558" spans="1:3" x14ac:dyDescent="0.25">
      <c r="A558" t="s">
        <v>164</v>
      </c>
      <c r="B558" t="s">
        <v>3</v>
      </c>
      <c r="C558">
        <v>2</v>
      </c>
    </row>
    <row r="559" spans="1:3" x14ac:dyDescent="0.25">
      <c r="A559" t="s">
        <v>164</v>
      </c>
      <c r="B559" t="s">
        <v>4</v>
      </c>
      <c r="C559">
        <v>9.5</v>
      </c>
    </row>
    <row r="560" spans="1:3" x14ac:dyDescent="0.25">
      <c r="A560" t="s">
        <v>164</v>
      </c>
      <c r="B560" t="s">
        <v>86</v>
      </c>
      <c r="C560">
        <v>9.5</v>
      </c>
    </row>
    <row r="561" spans="1:3" x14ac:dyDescent="0.25">
      <c r="A561" t="s">
        <v>164</v>
      </c>
      <c r="B561" t="s">
        <v>2</v>
      </c>
      <c r="C561">
        <v>45</v>
      </c>
    </row>
    <row r="562" spans="1:3" x14ac:dyDescent="0.25">
      <c r="A562" t="s">
        <v>164</v>
      </c>
      <c r="B562" t="s">
        <v>85</v>
      </c>
      <c r="C562">
        <v>45</v>
      </c>
    </row>
    <row r="563" spans="1:3" x14ac:dyDescent="0.25">
      <c r="A563" t="s">
        <v>164</v>
      </c>
      <c r="B563" t="s">
        <v>38</v>
      </c>
      <c r="C563">
        <v>1</v>
      </c>
    </row>
    <row r="564" spans="1:3" x14ac:dyDescent="0.25">
      <c r="A564" t="s">
        <v>164</v>
      </c>
      <c r="B564" t="s">
        <v>65</v>
      </c>
      <c r="C564">
        <v>20</v>
      </c>
    </row>
    <row r="565" spans="1:3" x14ac:dyDescent="0.25">
      <c r="A565" t="s">
        <v>164</v>
      </c>
      <c r="B565" t="s">
        <v>35</v>
      </c>
      <c r="C565">
        <v>8</v>
      </c>
    </row>
    <row r="566" spans="1:3" x14ac:dyDescent="0.25">
      <c r="A566" t="s">
        <v>34</v>
      </c>
      <c r="B566" t="s">
        <v>4</v>
      </c>
      <c r="C566">
        <v>5</v>
      </c>
    </row>
    <row r="567" spans="1:3" x14ac:dyDescent="0.25">
      <c r="A567" t="s">
        <v>34</v>
      </c>
      <c r="B567" t="s">
        <v>71</v>
      </c>
      <c r="C567">
        <v>1</v>
      </c>
    </row>
    <row r="568" spans="1:3" x14ac:dyDescent="0.25">
      <c r="A568" t="s">
        <v>34</v>
      </c>
      <c r="B568" t="s">
        <v>35</v>
      </c>
      <c r="C568">
        <v>1</v>
      </c>
    </row>
    <row r="569" spans="1:3" x14ac:dyDescent="0.25">
      <c r="A569" t="s">
        <v>34</v>
      </c>
      <c r="B569" t="s">
        <v>86</v>
      </c>
      <c r="C569">
        <v>5</v>
      </c>
    </row>
    <row r="570" spans="1:3" x14ac:dyDescent="0.25">
      <c r="A570" t="s">
        <v>34</v>
      </c>
      <c r="B570" t="s">
        <v>2</v>
      </c>
      <c r="C570">
        <v>9</v>
      </c>
    </row>
    <row r="571" spans="1:3" x14ac:dyDescent="0.25">
      <c r="A571" t="s">
        <v>34</v>
      </c>
      <c r="B571" t="s">
        <v>85</v>
      </c>
      <c r="C571">
        <v>9</v>
      </c>
    </row>
    <row r="572" spans="1:3" x14ac:dyDescent="0.25">
      <c r="A572" t="s">
        <v>23</v>
      </c>
      <c r="B572" t="s">
        <v>2</v>
      </c>
      <c r="C572">
        <v>1</v>
      </c>
    </row>
    <row r="573" spans="1:3" x14ac:dyDescent="0.25">
      <c r="A573" t="s">
        <v>23</v>
      </c>
      <c r="B573" t="s">
        <v>85</v>
      </c>
      <c r="C573">
        <v>1</v>
      </c>
    </row>
    <row r="574" spans="1:3" x14ac:dyDescent="0.25">
      <c r="A574" t="s">
        <v>152</v>
      </c>
      <c r="B574" t="s">
        <v>2</v>
      </c>
      <c r="C574">
        <v>15</v>
      </c>
    </row>
    <row r="575" spans="1:3" x14ac:dyDescent="0.25">
      <c r="A575" t="s">
        <v>152</v>
      </c>
      <c r="B575" t="s">
        <v>23</v>
      </c>
      <c r="C575">
        <v>10</v>
      </c>
    </row>
    <row r="576" spans="1:3" x14ac:dyDescent="0.25">
      <c r="A576" t="s">
        <v>152</v>
      </c>
      <c r="B576" t="s">
        <v>85</v>
      </c>
      <c r="C576">
        <v>15</v>
      </c>
    </row>
    <row r="577" spans="1:3" x14ac:dyDescent="0.25">
      <c r="A577" t="s">
        <v>3</v>
      </c>
      <c r="B577" t="s">
        <v>38</v>
      </c>
      <c r="C577">
        <v>0.5</v>
      </c>
    </row>
    <row r="578" spans="1:3" x14ac:dyDescent="0.25">
      <c r="A578" t="s">
        <v>3</v>
      </c>
      <c r="B578" t="s">
        <v>65</v>
      </c>
      <c r="C578">
        <v>10</v>
      </c>
    </row>
    <row r="579" spans="1:3" x14ac:dyDescent="0.25">
      <c r="A579" t="s">
        <v>125</v>
      </c>
      <c r="B579" t="s">
        <v>38</v>
      </c>
      <c r="C579">
        <v>10</v>
      </c>
    </row>
    <row r="580" spans="1:3" x14ac:dyDescent="0.25">
      <c r="A580" t="s">
        <v>125</v>
      </c>
      <c r="B580" t="s">
        <v>5</v>
      </c>
      <c r="C580">
        <v>3</v>
      </c>
    </row>
    <row r="581" spans="1:3" x14ac:dyDescent="0.25">
      <c r="A581" t="s">
        <v>125</v>
      </c>
      <c r="B581" t="s">
        <v>35</v>
      </c>
      <c r="C581">
        <v>3</v>
      </c>
    </row>
    <row r="582" spans="1:3" x14ac:dyDescent="0.25">
      <c r="A582" t="s">
        <v>125</v>
      </c>
      <c r="B582" t="s">
        <v>1</v>
      </c>
      <c r="C582">
        <v>9</v>
      </c>
    </row>
    <row r="583" spans="1:3" x14ac:dyDescent="0.25">
      <c r="A583" t="s">
        <v>125</v>
      </c>
      <c r="B583" t="s">
        <v>2</v>
      </c>
      <c r="C583">
        <v>18</v>
      </c>
    </row>
    <row r="584" spans="1:3" x14ac:dyDescent="0.25">
      <c r="A584" t="s">
        <v>125</v>
      </c>
      <c r="B584" t="s">
        <v>4</v>
      </c>
      <c r="C584">
        <v>4.5</v>
      </c>
    </row>
    <row r="585" spans="1:3" x14ac:dyDescent="0.25">
      <c r="A585" t="s">
        <v>125</v>
      </c>
      <c r="B585" t="s">
        <v>86</v>
      </c>
      <c r="C585">
        <v>4.5</v>
      </c>
    </row>
    <row r="586" spans="1:3" x14ac:dyDescent="0.25">
      <c r="A586" t="s">
        <v>125</v>
      </c>
      <c r="B586" t="s">
        <v>85</v>
      </c>
      <c r="C586">
        <v>18</v>
      </c>
    </row>
    <row r="587" spans="1:3" x14ac:dyDescent="0.25">
      <c r="A587" t="s">
        <v>82</v>
      </c>
      <c r="B587" t="s">
        <v>6</v>
      </c>
      <c r="C587">
        <v>2</v>
      </c>
    </row>
    <row r="588" spans="1:3" x14ac:dyDescent="0.25">
      <c r="A588" t="s">
        <v>82</v>
      </c>
      <c r="B588" t="s">
        <v>5</v>
      </c>
      <c r="C588">
        <v>24</v>
      </c>
    </row>
    <row r="589" spans="1:3" x14ac:dyDescent="0.25">
      <c r="A589" t="s">
        <v>82</v>
      </c>
      <c r="B589" t="s">
        <v>62</v>
      </c>
      <c r="C589">
        <v>5</v>
      </c>
    </row>
    <row r="590" spans="1:3" x14ac:dyDescent="0.25">
      <c r="A590" t="s">
        <v>82</v>
      </c>
      <c r="B590" t="s">
        <v>1</v>
      </c>
      <c r="C590">
        <v>80</v>
      </c>
    </row>
    <row r="591" spans="1:3" x14ac:dyDescent="0.25">
      <c r="A591" t="s">
        <v>82</v>
      </c>
      <c r="B591" t="s">
        <v>3</v>
      </c>
      <c r="C591">
        <v>4</v>
      </c>
    </row>
    <row r="592" spans="1:3" x14ac:dyDescent="0.25">
      <c r="A592" t="s">
        <v>82</v>
      </c>
      <c r="B592" t="s">
        <v>4</v>
      </c>
      <c r="C592">
        <v>40</v>
      </c>
    </row>
    <row r="593" spans="1:3" x14ac:dyDescent="0.25">
      <c r="A593" t="s">
        <v>82</v>
      </c>
      <c r="B593" t="s">
        <v>86</v>
      </c>
      <c r="C593">
        <v>40</v>
      </c>
    </row>
    <row r="594" spans="1:3" x14ac:dyDescent="0.25">
      <c r="A594" t="s">
        <v>82</v>
      </c>
      <c r="B594" t="s">
        <v>2</v>
      </c>
      <c r="C594">
        <v>24.1</v>
      </c>
    </row>
    <row r="595" spans="1:3" x14ac:dyDescent="0.25">
      <c r="A595" t="s">
        <v>82</v>
      </c>
      <c r="B595" t="s">
        <v>85</v>
      </c>
      <c r="C595">
        <v>24.1</v>
      </c>
    </row>
    <row r="596" spans="1:3" x14ac:dyDescent="0.25">
      <c r="A596" t="s">
        <v>82</v>
      </c>
      <c r="B596" t="s">
        <v>38</v>
      </c>
      <c r="C596">
        <v>2</v>
      </c>
    </row>
    <row r="597" spans="1:3" x14ac:dyDescent="0.25">
      <c r="A597" t="s">
        <v>82</v>
      </c>
      <c r="B597" t="s">
        <v>65</v>
      </c>
      <c r="C597">
        <v>47.5</v>
      </c>
    </row>
    <row r="598" spans="1:3" x14ac:dyDescent="0.25">
      <c r="A598" t="s">
        <v>82</v>
      </c>
      <c r="B598" t="s">
        <v>64</v>
      </c>
      <c r="C598">
        <v>0.5</v>
      </c>
    </row>
    <row r="599" spans="1:3" x14ac:dyDescent="0.25">
      <c r="A599" t="s">
        <v>82</v>
      </c>
      <c r="B599" t="s">
        <v>63</v>
      </c>
      <c r="C599">
        <v>8.5</v>
      </c>
    </row>
    <row r="600" spans="1:3" x14ac:dyDescent="0.25">
      <c r="A600" t="s">
        <v>78</v>
      </c>
      <c r="B600" t="s">
        <v>7</v>
      </c>
      <c r="C600">
        <v>0.5</v>
      </c>
    </row>
    <row r="601" spans="1:3" x14ac:dyDescent="0.25">
      <c r="A601" t="s">
        <v>78</v>
      </c>
      <c r="B601" t="s">
        <v>54</v>
      </c>
      <c r="C601">
        <v>0.5</v>
      </c>
    </row>
    <row r="602" spans="1:3" x14ac:dyDescent="0.25">
      <c r="A602" t="s">
        <v>78</v>
      </c>
      <c r="B602" t="s">
        <v>80</v>
      </c>
      <c r="C602">
        <v>0.5</v>
      </c>
    </row>
    <row r="603" spans="1:3" x14ac:dyDescent="0.25">
      <c r="A603" t="s">
        <v>78</v>
      </c>
      <c r="B603" t="s">
        <v>5</v>
      </c>
      <c r="C603">
        <v>7.5</v>
      </c>
    </row>
    <row r="604" spans="1:3" x14ac:dyDescent="0.25">
      <c r="A604" t="s">
        <v>78</v>
      </c>
      <c r="B604" t="s">
        <v>8</v>
      </c>
      <c r="C604">
        <v>3</v>
      </c>
    </row>
    <row r="605" spans="1:3" x14ac:dyDescent="0.25">
      <c r="A605" t="s">
        <v>78</v>
      </c>
      <c r="B605" t="s">
        <v>2</v>
      </c>
      <c r="C605">
        <v>46.5</v>
      </c>
    </row>
    <row r="606" spans="1:3" x14ac:dyDescent="0.25">
      <c r="A606" t="s">
        <v>78</v>
      </c>
      <c r="B606" t="s">
        <v>1</v>
      </c>
      <c r="C606">
        <v>32.5</v>
      </c>
    </row>
    <row r="607" spans="1:3" x14ac:dyDescent="0.25">
      <c r="A607" t="s">
        <v>78</v>
      </c>
      <c r="B607" t="s">
        <v>4</v>
      </c>
      <c r="C607">
        <v>16.25</v>
      </c>
    </row>
    <row r="608" spans="1:3" x14ac:dyDescent="0.25">
      <c r="A608" t="s">
        <v>78</v>
      </c>
      <c r="B608" t="s">
        <v>86</v>
      </c>
      <c r="C608">
        <v>16.25</v>
      </c>
    </row>
    <row r="609" spans="1:3" x14ac:dyDescent="0.25">
      <c r="A609" t="s">
        <v>78</v>
      </c>
      <c r="B609" t="s">
        <v>85</v>
      </c>
      <c r="C609">
        <v>46.5</v>
      </c>
    </row>
    <row r="610" spans="1:3" x14ac:dyDescent="0.25">
      <c r="A610" t="s">
        <v>78</v>
      </c>
      <c r="B610" t="s">
        <v>53</v>
      </c>
      <c r="C610">
        <v>0.5</v>
      </c>
    </row>
    <row r="611" spans="1:3" x14ac:dyDescent="0.25">
      <c r="A611" t="s">
        <v>78</v>
      </c>
      <c r="B611" t="s">
        <v>33</v>
      </c>
      <c r="C611">
        <v>7.5</v>
      </c>
    </row>
    <row r="612" spans="1:3" x14ac:dyDescent="0.25">
      <c r="A612" t="s">
        <v>78</v>
      </c>
      <c r="B612" t="s">
        <v>23</v>
      </c>
      <c r="C612">
        <v>1</v>
      </c>
    </row>
    <row r="613" spans="1:3" x14ac:dyDescent="0.25">
      <c r="A613" t="s">
        <v>78</v>
      </c>
      <c r="B613" t="s">
        <v>35</v>
      </c>
      <c r="C613">
        <v>5.5</v>
      </c>
    </row>
    <row r="614" spans="1:3" x14ac:dyDescent="0.25">
      <c r="A614" t="s">
        <v>78</v>
      </c>
      <c r="B614" t="s">
        <v>207</v>
      </c>
      <c r="C614">
        <v>7.5</v>
      </c>
    </row>
    <row r="615" spans="1:3" x14ac:dyDescent="0.25">
      <c r="A615" t="s">
        <v>78</v>
      </c>
      <c r="B615" t="s">
        <v>6</v>
      </c>
      <c r="C615">
        <v>2.5</v>
      </c>
    </row>
    <row r="616" spans="1:3" x14ac:dyDescent="0.25">
      <c r="A616" t="s">
        <v>78</v>
      </c>
      <c r="B616" t="s">
        <v>83</v>
      </c>
      <c r="C616">
        <v>5</v>
      </c>
    </row>
    <row r="617" spans="1:3" x14ac:dyDescent="0.25">
      <c r="A617" t="s">
        <v>78</v>
      </c>
      <c r="B617" t="s">
        <v>3</v>
      </c>
      <c r="C617">
        <v>5</v>
      </c>
    </row>
    <row r="618" spans="1:3" x14ac:dyDescent="0.25">
      <c r="A618" t="s">
        <v>78</v>
      </c>
      <c r="B618" t="s">
        <v>38</v>
      </c>
      <c r="C618">
        <v>2.5</v>
      </c>
    </row>
    <row r="619" spans="1:3" x14ac:dyDescent="0.25">
      <c r="A619" t="s">
        <v>78</v>
      </c>
      <c r="B619" t="s">
        <v>65</v>
      </c>
      <c r="C619">
        <v>50</v>
      </c>
    </row>
    <row r="620" spans="1:3" x14ac:dyDescent="0.25">
      <c r="A620" t="s">
        <v>78</v>
      </c>
      <c r="B620" t="s">
        <v>84</v>
      </c>
      <c r="C620">
        <v>10</v>
      </c>
    </row>
    <row r="621" spans="1:3" x14ac:dyDescent="0.25">
      <c r="A621" t="s">
        <v>117</v>
      </c>
      <c r="B621" t="s">
        <v>6</v>
      </c>
      <c r="C621">
        <v>5</v>
      </c>
    </row>
    <row r="622" spans="1:3" x14ac:dyDescent="0.25">
      <c r="A622" t="s">
        <v>117</v>
      </c>
      <c r="B622" t="s">
        <v>5</v>
      </c>
      <c r="C622">
        <v>15</v>
      </c>
    </row>
    <row r="623" spans="1:3" x14ac:dyDescent="0.25">
      <c r="A623" t="s">
        <v>117</v>
      </c>
      <c r="B623" t="s">
        <v>1</v>
      </c>
      <c r="C623">
        <v>65</v>
      </c>
    </row>
    <row r="624" spans="1:3" x14ac:dyDescent="0.25">
      <c r="A624" t="s">
        <v>117</v>
      </c>
      <c r="B624" t="s">
        <v>3</v>
      </c>
      <c r="C624">
        <v>10</v>
      </c>
    </row>
    <row r="625" spans="1:3" x14ac:dyDescent="0.25">
      <c r="A625" t="s">
        <v>117</v>
      </c>
      <c r="B625" t="s">
        <v>4</v>
      </c>
      <c r="C625">
        <v>32.5</v>
      </c>
    </row>
    <row r="626" spans="1:3" x14ac:dyDescent="0.25">
      <c r="A626" t="s">
        <v>117</v>
      </c>
      <c r="B626" t="s">
        <v>86</v>
      </c>
      <c r="C626">
        <v>32.5</v>
      </c>
    </row>
    <row r="627" spans="1:3" x14ac:dyDescent="0.25">
      <c r="A627" t="s">
        <v>117</v>
      </c>
      <c r="B627" t="s">
        <v>2</v>
      </c>
      <c r="C627">
        <v>15</v>
      </c>
    </row>
    <row r="628" spans="1:3" x14ac:dyDescent="0.25">
      <c r="A628" t="s">
        <v>117</v>
      </c>
      <c r="B628" t="s">
        <v>85</v>
      </c>
      <c r="C628">
        <v>15</v>
      </c>
    </row>
    <row r="629" spans="1:3" x14ac:dyDescent="0.25">
      <c r="A629" t="s">
        <v>117</v>
      </c>
      <c r="B629" t="s">
        <v>38</v>
      </c>
      <c r="C629">
        <v>5</v>
      </c>
    </row>
    <row r="630" spans="1:3" x14ac:dyDescent="0.25">
      <c r="A630" t="s">
        <v>117</v>
      </c>
      <c r="B630" t="s">
        <v>65</v>
      </c>
      <c r="C630">
        <v>100</v>
      </c>
    </row>
    <row r="631" spans="1:3" x14ac:dyDescent="0.25">
      <c r="A631" t="s">
        <v>118</v>
      </c>
      <c r="B631" t="s">
        <v>6</v>
      </c>
      <c r="C631">
        <v>35</v>
      </c>
    </row>
    <row r="632" spans="1:3" x14ac:dyDescent="0.25">
      <c r="A632" t="s">
        <v>118</v>
      </c>
      <c r="B632" t="s">
        <v>82</v>
      </c>
      <c r="C632">
        <v>5</v>
      </c>
    </row>
    <row r="633" spans="1:3" x14ac:dyDescent="0.25">
      <c r="A633" t="s">
        <v>118</v>
      </c>
      <c r="B633" t="s">
        <v>117</v>
      </c>
      <c r="C633">
        <v>4</v>
      </c>
    </row>
    <row r="634" spans="1:3" x14ac:dyDescent="0.25">
      <c r="A634" t="s">
        <v>118</v>
      </c>
      <c r="B634" t="s">
        <v>1</v>
      </c>
      <c r="C634">
        <v>710</v>
      </c>
    </row>
    <row r="635" spans="1:3" x14ac:dyDescent="0.25">
      <c r="A635" t="s">
        <v>118</v>
      </c>
      <c r="B635" t="s">
        <v>5</v>
      </c>
      <c r="C635">
        <v>190</v>
      </c>
    </row>
    <row r="636" spans="1:3" x14ac:dyDescent="0.25">
      <c r="A636" t="s">
        <v>118</v>
      </c>
      <c r="B636" t="s">
        <v>3</v>
      </c>
      <c r="C636">
        <v>70</v>
      </c>
    </row>
    <row r="637" spans="1:3" x14ac:dyDescent="0.25">
      <c r="A637" t="s">
        <v>118</v>
      </c>
      <c r="B637" t="s">
        <v>4</v>
      </c>
      <c r="C637">
        <v>355</v>
      </c>
    </row>
    <row r="638" spans="1:3" x14ac:dyDescent="0.25">
      <c r="A638" t="s">
        <v>118</v>
      </c>
      <c r="B638" t="s">
        <v>86</v>
      </c>
      <c r="C638">
        <v>355</v>
      </c>
    </row>
    <row r="639" spans="1:3" x14ac:dyDescent="0.25">
      <c r="A639" t="s">
        <v>118</v>
      </c>
      <c r="B639" t="s">
        <v>2</v>
      </c>
      <c r="C639">
        <v>190.5</v>
      </c>
    </row>
    <row r="640" spans="1:3" x14ac:dyDescent="0.25">
      <c r="A640" t="s">
        <v>118</v>
      </c>
      <c r="B640" t="s">
        <v>85</v>
      </c>
      <c r="C640">
        <v>190.5</v>
      </c>
    </row>
    <row r="641" spans="1:3" x14ac:dyDescent="0.25">
      <c r="A641" t="s">
        <v>118</v>
      </c>
      <c r="B641" t="s">
        <v>38</v>
      </c>
      <c r="C641">
        <v>35</v>
      </c>
    </row>
    <row r="642" spans="1:3" x14ac:dyDescent="0.25">
      <c r="A642" t="s">
        <v>118</v>
      </c>
      <c r="B642" t="s">
        <v>65</v>
      </c>
      <c r="C642">
        <v>737.5</v>
      </c>
    </row>
    <row r="643" spans="1:3" x14ac:dyDescent="0.25">
      <c r="A643" t="s">
        <v>118</v>
      </c>
      <c r="B643" t="s">
        <v>62</v>
      </c>
      <c r="C643">
        <v>25</v>
      </c>
    </row>
    <row r="644" spans="1:3" x14ac:dyDescent="0.25">
      <c r="A644" t="s">
        <v>118</v>
      </c>
      <c r="B644" t="s">
        <v>64</v>
      </c>
      <c r="C644">
        <v>2.5</v>
      </c>
    </row>
    <row r="645" spans="1:3" x14ac:dyDescent="0.25">
      <c r="A645" t="s">
        <v>118</v>
      </c>
      <c r="B645" t="s">
        <v>63</v>
      </c>
      <c r="C645">
        <v>42.5</v>
      </c>
    </row>
    <row r="646" spans="1:3" x14ac:dyDescent="0.25">
      <c r="A646" t="s">
        <v>119</v>
      </c>
      <c r="B646" t="s">
        <v>6</v>
      </c>
      <c r="C646">
        <v>190</v>
      </c>
    </row>
    <row r="647" spans="1:3" x14ac:dyDescent="0.25">
      <c r="A647" t="s">
        <v>119</v>
      </c>
      <c r="B647" t="s">
        <v>82</v>
      </c>
      <c r="C647">
        <v>30</v>
      </c>
    </row>
    <row r="648" spans="1:3" x14ac:dyDescent="0.25">
      <c r="A648" t="s">
        <v>119</v>
      </c>
      <c r="B648" t="s">
        <v>118</v>
      </c>
      <c r="C648">
        <v>5</v>
      </c>
    </row>
    <row r="649" spans="1:3" x14ac:dyDescent="0.25">
      <c r="A649" t="s">
        <v>119</v>
      </c>
      <c r="B649" t="s">
        <v>1</v>
      </c>
      <c r="C649">
        <v>4000</v>
      </c>
    </row>
    <row r="650" spans="1:3" x14ac:dyDescent="0.25">
      <c r="A650" t="s">
        <v>119</v>
      </c>
      <c r="B650" t="s">
        <v>5</v>
      </c>
      <c r="C650">
        <v>1080</v>
      </c>
    </row>
    <row r="651" spans="1:3" x14ac:dyDescent="0.25">
      <c r="A651" t="s">
        <v>119</v>
      </c>
      <c r="B651" t="s">
        <v>3</v>
      </c>
      <c r="C651">
        <v>380</v>
      </c>
    </row>
    <row r="652" spans="1:3" x14ac:dyDescent="0.25">
      <c r="A652" t="s">
        <v>119</v>
      </c>
      <c r="B652" t="s">
        <v>4</v>
      </c>
      <c r="C652">
        <v>2000</v>
      </c>
    </row>
    <row r="653" spans="1:3" x14ac:dyDescent="0.25">
      <c r="A653" t="s">
        <v>119</v>
      </c>
      <c r="B653" t="s">
        <v>86</v>
      </c>
      <c r="C653">
        <v>2000</v>
      </c>
    </row>
    <row r="654" spans="1:3" x14ac:dyDescent="0.25">
      <c r="A654" t="s">
        <v>119</v>
      </c>
      <c r="B654" t="s">
        <v>2</v>
      </c>
      <c r="C654">
        <v>1083</v>
      </c>
    </row>
    <row r="655" spans="1:3" x14ac:dyDescent="0.25">
      <c r="A655" t="s">
        <v>119</v>
      </c>
      <c r="B655" t="s">
        <v>85</v>
      </c>
      <c r="C655">
        <v>1083</v>
      </c>
    </row>
    <row r="656" spans="1:3" x14ac:dyDescent="0.25">
      <c r="A656" t="s">
        <v>119</v>
      </c>
      <c r="B656" t="s">
        <v>38</v>
      </c>
      <c r="C656">
        <v>190</v>
      </c>
    </row>
    <row r="657" spans="1:3" x14ac:dyDescent="0.25">
      <c r="A657" t="s">
        <v>119</v>
      </c>
      <c r="B657" t="s">
        <v>65</v>
      </c>
      <c r="C657">
        <v>4025</v>
      </c>
    </row>
    <row r="658" spans="1:3" x14ac:dyDescent="0.25">
      <c r="A658" t="s">
        <v>119</v>
      </c>
      <c r="B658" t="s">
        <v>62</v>
      </c>
      <c r="C658">
        <v>150</v>
      </c>
    </row>
    <row r="659" spans="1:3" x14ac:dyDescent="0.25">
      <c r="A659" t="s">
        <v>119</v>
      </c>
      <c r="B659" t="s">
        <v>64</v>
      </c>
      <c r="C659">
        <v>15</v>
      </c>
    </row>
    <row r="660" spans="1:3" x14ac:dyDescent="0.25">
      <c r="A660" t="s">
        <v>119</v>
      </c>
      <c r="B660" t="s">
        <v>63</v>
      </c>
      <c r="C660">
        <v>255</v>
      </c>
    </row>
    <row r="661" spans="1:3" x14ac:dyDescent="0.25">
      <c r="A661" t="s">
        <v>119</v>
      </c>
      <c r="B661" t="s">
        <v>117</v>
      </c>
      <c r="C661">
        <v>20</v>
      </c>
    </row>
    <row r="662" spans="1:3" x14ac:dyDescent="0.25">
      <c r="A662" t="s">
        <v>153</v>
      </c>
      <c r="B662" t="s">
        <v>53</v>
      </c>
      <c r="C662">
        <v>1</v>
      </c>
    </row>
    <row r="663" spans="1:3" x14ac:dyDescent="0.25">
      <c r="A663" t="s">
        <v>153</v>
      </c>
      <c r="B663" t="s">
        <v>23</v>
      </c>
      <c r="C663">
        <v>3</v>
      </c>
    </row>
    <row r="664" spans="1:3" x14ac:dyDescent="0.25">
      <c r="A664" t="s">
        <v>153</v>
      </c>
      <c r="B664" t="s">
        <v>35</v>
      </c>
      <c r="C664">
        <v>2</v>
      </c>
    </row>
    <row r="665" spans="1:3" x14ac:dyDescent="0.25">
      <c r="A665" t="s">
        <v>153</v>
      </c>
      <c r="B665" t="s">
        <v>8</v>
      </c>
      <c r="C665">
        <v>1</v>
      </c>
    </row>
    <row r="666" spans="1:3" x14ac:dyDescent="0.25">
      <c r="A666" t="s">
        <v>153</v>
      </c>
      <c r="B666" t="s">
        <v>2</v>
      </c>
      <c r="C666">
        <v>15</v>
      </c>
    </row>
    <row r="667" spans="1:3" x14ac:dyDescent="0.25">
      <c r="A667" t="s">
        <v>153</v>
      </c>
      <c r="B667" t="s">
        <v>85</v>
      </c>
      <c r="C667">
        <v>15</v>
      </c>
    </row>
    <row r="668" spans="1:3" x14ac:dyDescent="0.25">
      <c r="A668" t="s">
        <v>79</v>
      </c>
      <c r="B668" t="s">
        <v>5</v>
      </c>
      <c r="C668">
        <v>5</v>
      </c>
    </row>
    <row r="669" spans="1:3" x14ac:dyDescent="0.25">
      <c r="A669" t="s">
        <v>79</v>
      </c>
      <c r="B669" t="s">
        <v>8</v>
      </c>
      <c r="C669">
        <v>10</v>
      </c>
    </row>
    <row r="670" spans="1:3" x14ac:dyDescent="0.25">
      <c r="A670" t="s">
        <v>79</v>
      </c>
      <c r="B670" t="s">
        <v>23</v>
      </c>
      <c r="C670">
        <v>10</v>
      </c>
    </row>
    <row r="671" spans="1:3" x14ac:dyDescent="0.25">
      <c r="A671" t="s">
        <v>79</v>
      </c>
      <c r="B671" t="s">
        <v>35</v>
      </c>
      <c r="C671">
        <v>5</v>
      </c>
    </row>
    <row r="672" spans="1:3" x14ac:dyDescent="0.25">
      <c r="A672" t="s">
        <v>79</v>
      </c>
      <c r="B672" t="s">
        <v>1</v>
      </c>
      <c r="C672">
        <v>15</v>
      </c>
    </row>
    <row r="673" spans="1:3" x14ac:dyDescent="0.25">
      <c r="A673" t="s">
        <v>79</v>
      </c>
      <c r="B673" t="s">
        <v>2</v>
      </c>
      <c r="C673">
        <v>60</v>
      </c>
    </row>
    <row r="674" spans="1:3" x14ac:dyDescent="0.25">
      <c r="A674" t="s">
        <v>79</v>
      </c>
      <c r="B674" t="s">
        <v>4</v>
      </c>
      <c r="C674">
        <v>7.5</v>
      </c>
    </row>
    <row r="675" spans="1:3" x14ac:dyDescent="0.25">
      <c r="A675" t="s">
        <v>79</v>
      </c>
      <c r="B675" t="s">
        <v>86</v>
      </c>
      <c r="C675">
        <v>7.5</v>
      </c>
    </row>
    <row r="676" spans="1:3" x14ac:dyDescent="0.25">
      <c r="A676" t="s">
        <v>79</v>
      </c>
      <c r="B676" t="s">
        <v>85</v>
      </c>
      <c r="C676">
        <v>60</v>
      </c>
    </row>
    <row r="677" spans="1:3" x14ac:dyDescent="0.25">
      <c r="A677" t="s">
        <v>69</v>
      </c>
      <c r="B677" t="s">
        <v>5</v>
      </c>
      <c r="C677">
        <v>5</v>
      </c>
    </row>
    <row r="678" spans="1:3" x14ac:dyDescent="0.25">
      <c r="A678" t="s">
        <v>69</v>
      </c>
      <c r="B678" t="s">
        <v>8</v>
      </c>
      <c r="C678">
        <v>5</v>
      </c>
    </row>
    <row r="679" spans="1:3" x14ac:dyDescent="0.25">
      <c r="A679" t="s">
        <v>69</v>
      </c>
      <c r="B679" t="s">
        <v>2</v>
      </c>
      <c r="C679">
        <v>25</v>
      </c>
    </row>
    <row r="680" spans="1:3" x14ac:dyDescent="0.25">
      <c r="A680" t="s">
        <v>69</v>
      </c>
      <c r="B680" t="s">
        <v>1</v>
      </c>
      <c r="C680">
        <v>15</v>
      </c>
    </row>
    <row r="681" spans="1:3" x14ac:dyDescent="0.25">
      <c r="A681" t="s">
        <v>69</v>
      </c>
      <c r="B681" t="s">
        <v>4</v>
      </c>
      <c r="C681">
        <v>7.5</v>
      </c>
    </row>
    <row r="682" spans="1:3" x14ac:dyDescent="0.25">
      <c r="A682" t="s">
        <v>69</v>
      </c>
      <c r="B682" t="s">
        <v>86</v>
      </c>
      <c r="C682">
        <v>7.5</v>
      </c>
    </row>
    <row r="683" spans="1:3" x14ac:dyDescent="0.25">
      <c r="A683" t="s">
        <v>69</v>
      </c>
      <c r="B683" t="s">
        <v>85</v>
      </c>
      <c r="C683">
        <v>25</v>
      </c>
    </row>
    <row r="684" spans="1:3" x14ac:dyDescent="0.25">
      <c r="A684" t="s">
        <v>157</v>
      </c>
      <c r="B684" t="s">
        <v>5</v>
      </c>
      <c r="C684">
        <v>1</v>
      </c>
    </row>
    <row r="685" spans="1:3" x14ac:dyDescent="0.25">
      <c r="A685" t="s">
        <v>157</v>
      </c>
      <c r="B685" t="s">
        <v>2</v>
      </c>
      <c r="C685">
        <v>6</v>
      </c>
    </row>
    <row r="686" spans="1:3" x14ac:dyDescent="0.25">
      <c r="A686" t="s">
        <v>157</v>
      </c>
      <c r="B686" t="s">
        <v>1</v>
      </c>
      <c r="C686">
        <v>3</v>
      </c>
    </row>
    <row r="687" spans="1:3" x14ac:dyDescent="0.25">
      <c r="A687" t="s">
        <v>157</v>
      </c>
      <c r="B687" t="s">
        <v>4</v>
      </c>
      <c r="C687">
        <v>1.5</v>
      </c>
    </row>
    <row r="688" spans="1:3" x14ac:dyDescent="0.25">
      <c r="A688" t="s">
        <v>157</v>
      </c>
      <c r="B688" t="s">
        <v>86</v>
      </c>
      <c r="C688">
        <v>1.5</v>
      </c>
    </row>
    <row r="689" spans="1:3" x14ac:dyDescent="0.25">
      <c r="A689" t="s">
        <v>157</v>
      </c>
      <c r="B689" t="s">
        <v>85</v>
      </c>
      <c r="C689">
        <v>6</v>
      </c>
    </row>
    <row r="690" spans="1:3" x14ac:dyDescent="0.25">
      <c r="A690" t="s">
        <v>156</v>
      </c>
      <c r="B690" t="s">
        <v>5</v>
      </c>
      <c r="C690">
        <v>1</v>
      </c>
    </row>
    <row r="691" spans="1:3" x14ac:dyDescent="0.25">
      <c r="A691" t="s">
        <v>156</v>
      </c>
      <c r="B691" t="s">
        <v>2</v>
      </c>
      <c r="C691">
        <v>6</v>
      </c>
    </row>
    <row r="692" spans="1:3" x14ac:dyDescent="0.25">
      <c r="A692" t="s">
        <v>156</v>
      </c>
      <c r="B692" t="s">
        <v>1</v>
      </c>
      <c r="C692">
        <v>3</v>
      </c>
    </row>
    <row r="693" spans="1:3" x14ac:dyDescent="0.25">
      <c r="A693" t="s">
        <v>156</v>
      </c>
      <c r="B693" t="s">
        <v>4</v>
      </c>
      <c r="C693">
        <v>1.5</v>
      </c>
    </row>
    <row r="694" spans="1:3" x14ac:dyDescent="0.25">
      <c r="A694" t="s">
        <v>156</v>
      </c>
      <c r="B694" t="s">
        <v>86</v>
      </c>
      <c r="C694">
        <v>1.5</v>
      </c>
    </row>
    <row r="695" spans="1:3" x14ac:dyDescent="0.25">
      <c r="A695" t="s">
        <v>156</v>
      </c>
      <c r="B695" t="s">
        <v>85</v>
      </c>
      <c r="C695">
        <v>6</v>
      </c>
    </row>
    <row r="696" spans="1:3" x14ac:dyDescent="0.25">
      <c r="A696" t="s">
        <v>142</v>
      </c>
      <c r="B696" t="s">
        <v>5</v>
      </c>
      <c r="C696">
        <v>2</v>
      </c>
    </row>
    <row r="697" spans="1:3" x14ac:dyDescent="0.25">
      <c r="A697" t="s">
        <v>142</v>
      </c>
      <c r="B697" t="s">
        <v>8</v>
      </c>
      <c r="C697">
        <v>2</v>
      </c>
    </row>
    <row r="698" spans="1:3" x14ac:dyDescent="0.25">
      <c r="A698" t="s">
        <v>142</v>
      </c>
      <c r="B698" t="s">
        <v>1</v>
      </c>
      <c r="C698">
        <v>6</v>
      </c>
    </row>
    <row r="699" spans="1:3" x14ac:dyDescent="0.25">
      <c r="A699" t="s">
        <v>142</v>
      </c>
      <c r="B699" t="s">
        <v>2</v>
      </c>
      <c r="C699">
        <v>6</v>
      </c>
    </row>
    <row r="700" spans="1:3" x14ac:dyDescent="0.25">
      <c r="A700" t="s">
        <v>142</v>
      </c>
      <c r="B700" t="s">
        <v>4</v>
      </c>
      <c r="C700">
        <v>3</v>
      </c>
    </row>
    <row r="701" spans="1:3" x14ac:dyDescent="0.25">
      <c r="A701" t="s">
        <v>142</v>
      </c>
      <c r="B701" t="s">
        <v>86</v>
      </c>
      <c r="C701">
        <v>3</v>
      </c>
    </row>
    <row r="702" spans="1:3" x14ac:dyDescent="0.25">
      <c r="A702" t="s">
        <v>142</v>
      </c>
      <c r="B702" t="s">
        <v>85</v>
      </c>
      <c r="C702">
        <v>6</v>
      </c>
    </row>
    <row r="703" spans="1:3" x14ac:dyDescent="0.25">
      <c r="A703" t="s">
        <v>165</v>
      </c>
      <c r="B703" t="s">
        <v>6</v>
      </c>
      <c r="C703">
        <v>1</v>
      </c>
    </row>
    <row r="704" spans="1:3" x14ac:dyDescent="0.25">
      <c r="A704" t="s">
        <v>165</v>
      </c>
      <c r="B704" t="s">
        <v>5</v>
      </c>
      <c r="C704">
        <v>5</v>
      </c>
    </row>
    <row r="705" spans="1:3" x14ac:dyDescent="0.25">
      <c r="A705" t="s">
        <v>165</v>
      </c>
      <c r="B705" t="s">
        <v>107</v>
      </c>
      <c r="C705">
        <v>1</v>
      </c>
    </row>
    <row r="706" spans="1:3" x14ac:dyDescent="0.25">
      <c r="A706" t="s">
        <v>165</v>
      </c>
      <c r="B706" t="s">
        <v>1</v>
      </c>
      <c r="C706">
        <v>19</v>
      </c>
    </row>
    <row r="707" spans="1:3" x14ac:dyDescent="0.25">
      <c r="A707" t="s">
        <v>165</v>
      </c>
      <c r="B707" t="s">
        <v>3</v>
      </c>
      <c r="C707">
        <v>2</v>
      </c>
    </row>
    <row r="708" spans="1:3" x14ac:dyDescent="0.25">
      <c r="A708" t="s">
        <v>165</v>
      </c>
      <c r="B708" t="s">
        <v>4</v>
      </c>
      <c r="C708">
        <v>9.5</v>
      </c>
    </row>
    <row r="709" spans="1:3" x14ac:dyDescent="0.25">
      <c r="A709" t="s">
        <v>165</v>
      </c>
      <c r="B709" t="s">
        <v>86</v>
      </c>
      <c r="C709">
        <v>9.5</v>
      </c>
    </row>
    <row r="710" spans="1:3" x14ac:dyDescent="0.25">
      <c r="A710" t="s">
        <v>165</v>
      </c>
      <c r="B710" t="s">
        <v>2</v>
      </c>
      <c r="C710">
        <v>45</v>
      </c>
    </row>
    <row r="711" spans="1:3" x14ac:dyDescent="0.25">
      <c r="A711" t="s">
        <v>165</v>
      </c>
      <c r="B711" t="s">
        <v>85</v>
      </c>
      <c r="C711">
        <v>45</v>
      </c>
    </row>
    <row r="712" spans="1:3" x14ac:dyDescent="0.25">
      <c r="A712" t="s">
        <v>165</v>
      </c>
      <c r="B712" t="s">
        <v>38</v>
      </c>
      <c r="C712">
        <v>1</v>
      </c>
    </row>
    <row r="713" spans="1:3" x14ac:dyDescent="0.25">
      <c r="A713" t="s">
        <v>165</v>
      </c>
      <c r="B713" t="s">
        <v>65</v>
      </c>
      <c r="C713">
        <v>20</v>
      </c>
    </row>
    <row r="714" spans="1:3" x14ac:dyDescent="0.25">
      <c r="A714" t="s">
        <v>165</v>
      </c>
      <c r="B714" t="s">
        <v>35</v>
      </c>
      <c r="C714">
        <v>8</v>
      </c>
    </row>
    <row r="715" spans="1:3" x14ac:dyDescent="0.25">
      <c r="A715" t="s">
        <v>206</v>
      </c>
      <c r="B715" t="s">
        <v>81</v>
      </c>
      <c r="C715">
        <v>1</v>
      </c>
    </row>
    <row r="716" spans="1:3" x14ac:dyDescent="0.25">
      <c r="A716" t="s">
        <v>206</v>
      </c>
      <c r="B716" t="s">
        <v>70</v>
      </c>
      <c r="C716">
        <v>1</v>
      </c>
    </row>
    <row r="717" spans="1:3" x14ac:dyDescent="0.25">
      <c r="A717" t="s">
        <v>206</v>
      </c>
      <c r="B717" t="s">
        <v>78</v>
      </c>
      <c r="C717">
        <v>1</v>
      </c>
    </row>
    <row r="718" spans="1:3" x14ac:dyDescent="0.25">
      <c r="A718" t="s">
        <v>206</v>
      </c>
      <c r="B718" t="s">
        <v>48</v>
      </c>
      <c r="C718">
        <v>1</v>
      </c>
    </row>
    <row r="719" spans="1:3" x14ac:dyDescent="0.25">
      <c r="A719" t="s">
        <v>206</v>
      </c>
      <c r="B719" t="s">
        <v>49</v>
      </c>
      <c r="C719">
        <v>1</v>
      </c>
    </row>
    <row r="720" spans="1:3" x14ac:dyDescent="0.25">
      <c r="A720" t="s">
        <v>206</v>
      </c>
      <c r="B720" t="s">
        <v>50</v>
      </c>
      <c r="C720">
        <v>1</v>
      </c>
    </row>
    <row r="721" spans="1:3" x14ac:dyDescent="0.25">
      <c r="A721" t="s">
        <v>206</v>
      </c>
      <c r="B721" t="s">
        <v>52</v>
      </c>
      <c r="C721">
        <v>0.5</v>
      </c>
    </row>
    <row r="722" spans="1:3" x14ac:dyDescent="0.25">
      <c r="A722" t="s">
        <v>206</v>
      </c>
      <c r="B722" t="s">
        <v>1</v>
      </c>
      <c r="C722">
        <v>222</v>
      </c>
    </row>
    <row r="723" spans="1:3" x14ac:dyDescent="0.25">
      <c r="A723" t="s">
        <v>206</v>
      </c>
      <c r="B723" t="s">
        <v>82</v>
      </c>
      <c r="C723">
        <v>1.5</v>
      </c>
    </row>
    <row r="724" spans="1:3" x14ac:dyDescent="0.25">
      <c r="A724" t="s">
        <v>206</v>
      </c>
      <c r="B724" t="s">
        <v>0</v>
      </c>
      <c r="C724">
        <v>0.5</v>
      </c>
    </row>
    <row r="725" spans="1:3" x14ac:dyDescent="0.25">
      <c r="A725" t="s">
        <v>206</v>
      </c>
      <c r="B725" t="s">
        <v>4</v>
      </c>
      <c r="C725">
        <v>120</v>
      </c>
    </row>
    <row r="726" spans="1:3" x14ac:dyDescent="0.25">
      <c r="A726" t="s">
        <v>206</v>
      </c>
      <c r="B726" t="s">
        <v>2</v>
      </c>
      <c r="C726">
        <v>159.35000000000002</v>
      </c>
    </row>
    <row r="727" spans="1:3" x14ac:dyDescent="0.25">
      <c r="A727" t="s">
        <v>206</v>
      </c>
      <c r="B727" t="s">
        <v>62</v>
      </c>
      <c r="C727">
        <v>17.5</v>
      </c>
    </row>
    <row r="728" spans="1:3" x14ac:dyDescent="0.25">
      <c r="A728" t="s">
        <v>206</v>
      </c>
      <c r="B728" t="s">
        <v>86</v>
      </c>
      <c r="C728">
        <v>120</v>
      </c>
    </row>
    <row r="729" spans="1:3" x14ac:dyDescent="0.25">
      <c r="A729" t="s">
        <v>206</v>
      </c>
      <c r="B729" t="s">
        <v>85</v>
      </c>
      <c r="C729">
        <v>159.35000000000002</v>
      </c>
    </row>
    <row r="730" spans="1:3" x14ac:dyDescent="0.25">
      <c r="A730" t="s">
        <v>206</v>
      </c>
      <c r="B730" t="s">
        <v>64</v>
      </c>
      <c r="C730">
        <v>1.75</v>
      </c>
    </row>
    <row r="731" spans="1:3" x14ac:dyDescent="0.25">
      <c r="A731" t="s">
        <v>206</v>
      </c>
      <c r="B731" t="s">
        <v>63</v>
      </c>
      <c r="C731">
        <v>29.75</v>
      </c>
    </row>
    <row r="732" spans="1:3" x14ac:dyDescent="0.25">
      <c r="A732" t="s">
        <v>206</v>
      </c>
      <c r="B732" t="s">
        <v>65</v>
      </c>
      <c r="C732">
        <v>206.25</v>
      </c>
    </row>
    <row r="733" spans="1:3" x14ac:dyDescent="0.25">
      <c r="A733" t="s">
        <v>206</v>
      </c>
      <c r="B733" t="s">
        <v>6</v>
      </c>
      <c r="C733">
        <v>9</v>
      </c>
    </row>
    <row r="734" spans="1:3" x14ac:dyDescent="0.25">
      <c r="A734" t="s">
        <v>206</v>
      </c>
      <c r="B734" t="s">
        <v>5</v>
      </c>
      <c r="C734">
        <v>57</v>
      </c>
    </row>
    <row r="735" spans="1:3" x14ac:dyDescent="0.25">
      <c r="A735" t="s">
        <v>206</v>
      </c>
      <c r="B735" t="s">
        <v>3</v>
      </c>
      <c r="C735">
        <v>18</v>
      </c>
    </row>
    <row r="736" spans="1:3" x14ac:dyDescent="0.25">
      <c r="A736" t="s">
        <v>206</v>
      </c>
      <c r="B736" t="s">
        <v>38</v>
      </c>
      <c r="C736">
        <v>14</v>
      </c>
    </row>
    <row r="737" spans="1:3" x14ac:dyDescent="0.25">
      <c r="A737" t="s">
        <v>206</v>
      </c>
      <c r="B737" t="s">
        <v>37</v>
      </c>
      <c r="C737">
        <v>0.5</v>
      </c>
    </row>
    <row r="738" spans="1:3" x14ac:dyDescent="0.25">
      <c r="A738" t="s">
        <v>206</v>
      </c>
      <c r="B738" t="s">
        <v>36</v>
      </c>
      <c r="C738">
        <v>0.5</v>
      </c>
    </row>
    <row r="739" spans="1:3" x14ac:dyDescent="0.25">
      <c r="A739" t="s">
        <v>206</v>
      </c>
      <c r="B739" t="s">
        <v>34</v>
      </c>
      <c r="C739">
        <v>0.5</v>
      </c>
    </row>
    <row r="740" spans="1:3" x14ac:dyDescent="0.25">
      <c r="A740" t="s">
        <v>206</v>
      </c>
      <c r="B740" t="s">
        <v>8</v>
      </c>
      <c r="C740">
        <v>16.5</v>
      </c>
    </row>
    <row r="741" spans="1:3" x14ac:dyDescent="0.25">
      <c r="A741" t="s">
        <v>206</v>
      </c>
      <c r="B741" t="s">
        <v>71</v>
      </c>
      <c r="C741">
        <v>0.5</v>
      </c>
    </row>
    <row r="742" spans="1:3" x14ac:dyDescent="0.25">
      <c r="A742" t="s">
        <v>206</v>
      </c>
      <c r="B742" t="s">
        <v>35</v>
      </c>
      <c r="C742">
        <v>7</v>
      </c>
    </row>
    <row r="743" spans="1:3" x14ac:dyDescent="0.25">
      <c r="A743" t="s">
        <v>206</v>
      </c>
      <c r="B743" t="s">
        <v>7</v>
      </c>
      <c r="C743">
        <v>0.5</v>
      </c>
    </row>
    <row r="744" spans="1:3" x14ac:dyDescent="0.25">
      <c r="A744" t="s">
        <v>206</v>
      </c>
      <c r="B744" t="s">
        <v>54</v>
      </c>
      <c r="C744">
        <v>0.5</v>
      </c>
    </row>
    <row r="745" spans="1:3" x14ac:dyDescent="0.25">
      <c r="A745" t="s">
        <v>206</v>
      </c>
      <c r="B745" t="s">
        <v>80</v>
      </c>
      <c r="C745">
        <v>0.5</v>
      </c>
    </row>
    <row r="746" spans="1:3" x14ac:dyDescent="0.25">
      <c r="A746" t="s">
        <v>206</v>
      </c>
      <c r="B746" t="s">
        <v>53</v>
      </c>
      <c r="C746">
        <v>1.5</v>
      </c>
    </row>
    <row r="747" spans="1:3" x14ac:dyDescent="0.25">
      <c r="A747" t="s">
        <v>206</v>
      </c>
      <c r="B747" t="s">
        <v>33</v>
      </c>
      <c r="C747">
        <v>7.5</v>
      </c>
    </row>
    <row r="748" spans="1:3" x14ac:dyDescent="0.25">
      <c r="A748" t="s">
        <v>206</v>
      </c>
      <c r="B748" t="s">
        <v>23</v>
      </c>
      <c r="C748">
        <v>3</v>
      </c>
    </row>
    <row r="749" spans="1:3" x14ac:dyDescent="0.25">
      <c r="A749" t="s">
        <v>206</v>
      </c>
      <c r="B749" t="s">
        <v>207</v>
      </c>
      <c r="C749">
        <v>7.5</v>
      </c>
    </row>
    <row r="750" spans="1:3" x14ac:dyDescent="0.25">
      <c r="A750" t="s">
        <v>206</v>
      </c>
      <c r="B750" t="s">
        <v>83</v>
      </c>
      <c r="C750">
        <v>5</v>
      </c>
    </row>
    <row r="751" spans="1:3" x14ac:dyDescent="0.25">
      <c r="A751" t="s">
        <v>206</v>
      </c>
      <c r="B751" t="s">
        <v>84</v>
      </c>
      <c r="C751">
        <v>10</v>
      </c>
    </row>
    <row r="752" spans="1:3" x14ac:dyDescent="0.25">
      <c r="A752" t="s">
        <v>206</v>
      </c>
      <c r="B752" t="s">
        <v>42</v>
      </c>
      <c r="C752">
        <v>1</v>
      </c>
    </row>
    <row r="753" spans="1:3" x14ac:dyDescent="0.25">
      <c r="A753" t="s">
        <v>206</v>
      </c>
      <c r="B753" t="s">
        <v>24</v>
      </c>
      <c r="C753">
        <v>1</v>
      </c>
    </row>
    <row r="754" spans="1:3" x14ac:dyDescent="0.25">
      <c r="A754" t="s">
        <v>206</v>
      </c>
      <c r="B754" t="s">
        <v>87</v>
      </c>
      <c r="C754">
        <v>1</v>
      </c>
    </row>
    <row r="755" spans="1:3" x14ac:dyDescent="0.25">
      <c r="A755" t="s">
        <v>120</v>
      </c>
      <c r="B755" t="s">
        <v>6</v>
      </c>
      <c r="C755">
        <v>45</v>
      </c>
    </row>
    <row r="756" spans="1:3" x14ac:dyDescent="0.25">
      <c r="A756" t="s">
        <v>120</v>
      </c>
      <c r="B756" t="s">
        <v>8</v>
      </c>
      <c r="C756">
        <v>45</v>
      </c>
    </row>
    <row r="757" spans="1:3" x14ac:dyDescent="0.25">
      <c r="A757" t="s">
        <v>120</v>
      </c>
      <c r="B757" t="s">
        <v>35</v>
      </c>
      <c r="C757">
        <v>45</v>
      </c>
    </row>
    <row r="758" spans="1:3" x14ac:dyDescent="0.25">
      <c r="A758" t="s">
        <v>120</v>
      </c>
      <c r="B758" t="s">
        <v>1</v>
      </c>
      <c r="C758">
        <v>450</v>
      </c>
    </row>
    <row r="759" spans="1:3" x14ac:dyDescent="0.25">
      <c r="A759" t="s">
        <v>120</v>
      </c>
      <c r="B759" t="s">
        <v>5</v>
      </c>
      <c r="C759">
        <v>90</v>
      </c>
    </row>
    <row r="760" spans="1:3" x14ac:dyDescent="0.25">
      <c r="A760" t="s">
        <v>120</v>
      </c>
      <c r="B760" t="s">
        <v>3</v>
      </c>
      <c r="C760">
        <v>90</v>
      </c>
    </row>
    <row r="761" spans="1:3" x14ac:dyDescent="0.25">
      <c r="A761" t="s">
        <v>120</v>
      </c>
      <c r="B761" t="s">
        <v>4</v>
      </c>
      <c r="C761">
        <v>225</v>
      </c>
    </row>
    <row r="762" spans="1:3" x14ac:dyDescent="0.25">
      <c r="A762" t="s">
        <v>120</v>
      </c>
      <c r="B762" t="s">
        <v>86</v>
      </c>
      <c r="C762">
        <v>225</v>
      </c>
    </row>
    <row r="763" spans="1:3" x14ac:dyDescent="0.25">
      <c r="A763" t="s">
        <v>120</v>
      </c>
      <c r="B763" t="s">
        <v>2</v>
      </c>
      <c r="C763">
        <v>405</v>
      </c>
    </row>
    <row r="764" spans="1:3" x14ac:dyDescent="0.25">
      <c r="A764" t="s">
        <v>120</v>
      </c>
      <c r="B764" t="s">
        <v>85</v>
      </c>
      <c r="C764">
        <v>405</v>
      </c>
    </row>
    <row r="765" spans="1:3" x14ac:dyDescent="0.25">
      <c r="A765" t="s">
        <v>120</v>
      </c>
      <c r="B765" t="s">
        <v>38</v>
      </c>
      <c r="C765">
        <v>45</v>
      </c>
    </row>
    <row r="766" spans="1:3" x14ac:dyDescent="0.25">
      <c r="A766" t="s">
        <v>120</v>
      </c>
      <c r="B766" t="s">
        <v>65</v>
      </c>
      <c r="C766">
        <v>900</v>
      </c>
    </row>
    <row r="767" spans="1:3" x14ac:dyDescent="0.25">
      <c r="A767" t="s">
        <v>127</v>
      </c>
      <c r="B767" t="s">
        <v>82</v>
      </c>
      <c r="C767">
        <v>1</v>
      </c>
    </row>
    <row r="768" spans="1:3" x14ac:dyDescent="0.25">
      <c r="A768" t="s">
        <v>127</v>
      </c>
      <c r="B768" t="s">
        <v>0</v>
      </c>
      <c r="C768">
        <v>1</v>
      </c>
    </row>
    <row r="769" spans="1:3" x14ac:dyDescent="0.25">
      <c r="A769" t="s">
        <v>127</v>
      </c>
      <c r="B769" t="s">
        <v>6</v>
      </c>
      <c r="C769">
        <v>7</v>
      </c>
    </row>
    <row r="770" spans="1:3" x14ac:dyDescent="0.25">
      <c r="A770" t="s">
        <v>127</v>
      </c>
      <c r="B770" t="s">
        <v>5</v>
      </c>
      <c r="C770">
        <v>39</v>
      </c>
    </row>
    <row r="771" spans="1:3" x14ac:dyDescent="0.25">
      <c r="A771" t="s">
        <v>127</v>
      </c>
      <c r="B771" t="s">
        <v>62</v>
      </c>
      <c r="C771">
        <v>5</v>
      </c>
    </row>
    <row r="772" spans="1:3" x14ac:dyDescent="0.25">
      <c r="A772" t="s">
        <v>127</v>
      </c>
      <c r="B772" t="s">
        <v>1</v>
      </c>
      <c r="C772">
        <v>145</v>
      </c>
    </row>
    <row r="773" spans="1:3" x14ac:dyDescent="0.25">
      <c r="A773" t="s">
        <v>127</v>
      </c>
      <c r="B773" t="s">
        <v>3</v>
      </c>
      <c r="C773">
        <v>14</v>
      </c>
    </row>
    <row r="774" spans="1:3" x14ac:dyDescent="0.25">
      <c r="A774" t="s">
        <v>127</v>
      </c>
      <c r="B774" t="s">
        <v>4</v>
      </c>
      <c r="C774">
        <v>72.5</v>
      </c>
    </row>
    <row r="775" spans="1:3" x14ac:dyDescent="0.25">
      <c r="A775" t="s">
        <v>127</v>
      </c>
      <c r="B775" t="s">
        <v>86</v>
      </c>
      <c r="C775">
        <v>72.5</v>
      </c>
    </row>
    <row r="776" spans="1:3" x14ac:dyDescent="0.25">
      <c r="A776" t="s">
        <v>127</v>
      </c>
      <c r="B776" t="s">
        <v>2</v>
      </c>
      <c r="C776">
        <v>39.1</v>
      </c>
    </row>
    <row r="777" spans="1:3" x14ac:dyDescent="0.25">
      <c r="A777" t="s">
        <v>127</v>
      </c>
      <c r="B777" t="s">
        <v>85</v>
      </c>
      <c r="C777">
        <v>39.1</v>
      </c>
    </row>
    <row r="778" spans="1:3" x14ac:dyDescent="0.25">
      <c r="A778" t="s">
        <v>127</v>
      </c>
      <c r="B778" t="s">
        <v>38</v>
      </c>
      <c r="C778">
        <v>7</v>
      </c>
    </row>
    <row r="779" spans="1:3" x14ac:dyDescent="0.25">
      <c r="A779" t="s">
        <v>127</v>
      </c>
      <c r="B779" t="s">
        <v>65</v>
      </c>
      <c r="C779">
        <v>147.5</v>
      </c>
    </row>
    <row r="780" spans="1:3" x14ac:dyDescent="0.25">
      <c r="A780" t="s">
        <v>127</v>
      </c>
      <c r="B780" t="s">
        <v>64</v>
      </c>
      <c r="C780">
        <v>0.5</v>
      </c>
    </row>
    <row r="781" spans="1:3" x14ac:dyDescent="0.25">
      <c r="A781" t="s">
        <v>127</v>
      </c>
      <c r="B781" t="s">
        <v>63</v>
      </c>
      <c r="C781">
        <v>8.5</v>
      </c>
    </row>
    <row r="782" spans="1:3" x14ac:dyDescent="0.25">
      <c r="A782" t="s">
        <v>130</v>
      </c>
      <c r="B782" t="s">
        <v>131</v>
      </c>
      <c r="C782">
        <v>10</v>
      </c>
    </row>
    <row r="783" spans="1:3" x14ac:dyDescent="0.25">
      <c r="A783" t="s">
        <v>130</v>
      </c>
      <c r="B783" t="s">
        <v>65</v>
      </c>
      <c r="C783">
        <v>200</v>
      </c>
    </row>
    <row r="784" spans="1:3" x14ac:dyDescent="0.25">
      <c r="A784" t="s">
        <v>137</v>
      </c>
      <c r="B784" t="s">
        <v>129</v>
      </c>
      <c r="C784">
        <v>1000</v>
      </c>
    </row>
    <row r="785" spans="1:3" x14ac:dyDescent="0.25">
      <c r="A785" t="s">
        <v>137</v>
      </c>
      <c r="B785" t="s">
        <v>127</v>
      </c>
      <c r="C785">
        <v>1000</v>
      </c>
    </row>
    <row r="786" spans="1:3" x14ac:dyDescent="0.25">
      <c r="A786" t="s">
        <v>137</v>
      </c>
      <c r="B786" t="s">
        <v>130</v>
      </c>
      <c r="C786">
        <v>1000</v>
      </c>
    </row>
    <row r="787" spans="1:3" x14ac:dyDescent="0.25">
      <c r="A787" t="s">
        <v>137</v>
      </c>
      <c r="B787" t="s">
        <v>4</v>
      </c>
      <c r="C787">
        <v>77500</v>
      </c>
    </row>
    <row r="788" spans="1:3" x14ac:dyDescent="0.25">
      <c r="A788" t="s">
        <v>137</v>
      </c>
      <c r="B788" t="s">
        <v>3</v>
      </c>
      <c r="C788">
        <v>19000</v>
      </c>
    </row>
    <row r="789" spans="1:3" x14ac:dyDescent="0.25">
      <c r="A789" t="s">
        <v>137</v>
      </c>
      <c r="B789" t="s">
        <v>35</v>
      </c>
      <c r="C789">
        <v>10000</v>
      </c>
    </row>
    <row r="790" spans="1:3" x14ac:dyDescent="0.25">
      <c r="A790" t="s">
        <v>137</v>
      </c>
      <c r="B790" t="s">
        <v>86</v>
      </c>
      <c r="C790">
        <v>77500</v>
      </c>
    </row>
    <row r="791" spans="1:3" x14ac:dyDescent="0.25">
      <c r="A791" t="s">
        <v>137</v>
      </c>
      <c r="B791" t="s">
        <v>38</v>
      </c>
      <c r="C791">
        <v>9500</v>
      </c>
    </row>
    <row r="792" spans="1:3" x14ac:dyDescent="0.25">
      <c r="A792" t="s">
        <v>137</v>
      </c>
      <c r="B792" t="s">
        <v>65</v>
      </c>
      <c r="C792">
        <v>397500</v>
      </c>
    </row>
    <row r="793" spans="1:3" x14ac:dyDescent="0.25">
      <c r="A793" t="s">
        <v>137</v>
      </c>
      <c r="B793" t="s">
        <v>2</v>
      </c>
      <c r="C793">
        <v>89100</v>
      </c>
    </row>
    <row r="794" spans="1:3" x14ac:dyDescent="0.25">
      <c r="A794" t="s">
        <v>137</v>
      </c>
      <c r="B794" t="s">
        <v>85</v>
      </c>
      <c r="C794">
        <v>89100</v>
      </c>
    </row>
    <row r="795" spans="1:3" x14ac:dyDescent="0.25">
      <c r="A795" t="s">
        <v>137</v>
      </c>
      <c r="B795" t="s">
        <v>82</v>
      </c>
      <c r="C795">
        <v>1000</v>
      </c>
    </row>
    <row r="796" spans="1:3" x14ac:dyDescent="0.25">
      <c r="A796" t="s">
        <v>137</v>
      </c>
      <c r="B796" t="s">
        <v>0</v>
      </c>
      <c r="C796">
        <v>1000</v>
      </c>
    </row>
    <row r="797" spans="1:3" x14ac:dyDescent="0.25">
      <c r="A797" t="s">
        <v>137</v>
      </c>
      <c r="B797" t="s">
        <v>6</v>
      </c>
      <c r="C797">
        <v>7000</v>
      </c>
    </row>
    <row r="798" spans="1:3" x14ac:dyDescent="0.25">
      <c r="A798" t="s">
        <v>137</v>
      </c>
      <c r="B798" t="s">
        <v>5</v>
      </c>
      <c r="C798">
        <v>39000</v>
      </c>
    </row>
    <row r="799" spans="1:3" x14ac:dyDescent="0.25">
      <c r="A799" t="s">
        <v>137</v>
      </c>
      <c r="B799" t="s">
        <v>62</v>
      </c>
      <c r="C799">
        <v>5000</v>
      </c>
    </row>
    <row r="800" spans="1:3" x14ac:dyDescent="0.25">
      <c r="A800" t="s">
        <v>137</v>
      </c>
      <c r="B800" t="s">
        <v>1</v>
      </c>
      <c r="C800">
        <v>145000</v>
      </c>
    </row>
    <row r="801" spans="1:3" x14ac:dyDescent="0.25">
      <c r="A801" t="s">
        <v>137</v>
      </c>
      <c r="B801" t="s">
        <v>64</v>
      </c>
      <c r="C801">
        <v>500</v>
      </c>
    </row>
    <row r="802" spans="1:3" x14ac:dyDescent="0.25">
      <c r="A802" t="s">
        <v>137</v>
      </c>
      <c r="B802" t="s">
        <v>63</v>
      </c>
      <c r="C802">
        <v>8500</v>
      </c>
    </row>
    <row r="803" spans="1:3" x14ac:dyDescent="0.25">
      <c r="A803" t="s">
        <v>137</v>
      </c>
      <c r="B803" t="s">
        <v>131</v>
      </c>
      <c r="C803">
        <v>10000</v>
      </c>
    </row>
    <row r="804" spans="1:3" x14ac:dyDescent="0.25">
      <c r="A804" t="s">
        <v>203</v>
      </c>
      <c r="B804" t="s">
        <v>129</v>
      </c>
      <c r="C804">
        <v>1100</v>
      </c>
    </row>
    <row r="805" spans="1:3" x14ac:dyDescent="0.25">
      <c r="A805" t="s">
        <v>203</v>
      </c>
      <c r="B805" t="s">
        <v>127</v>
      </c>
      <c r="C805">
        <v>1000</v>
      </c>
    </row>
    <row r="806" spans="1:3" x14ac:dyDescent="0.25">
      <c r="A806" t="s">
        <v>203</v>
      </c>
      <c r="B806" t="s">
        <v>130</v>
      </c>
      <c r="C806">
        <v>1050</v>
      </c>
    </row>
    <row r="807" spans="1:3" x14ac:dyDescent="0.25">
      <c r="A807" t="s">
        <v>203</v>
      </c>
      <c r="B807" t="s">
        <v>128</v>
      </c>
      <c r="C807">
        <v>1</v>
      </c>
    </row>
    <row r="808" spans="1:3" x14ac:dyDescent="0.25">
      <c r="A808" t="s">
        <v>203</v>
      </c>
      <c r="B808" t="s">
        <v>4</v>
      </c>
      <c r="C808">
        <v>85287.5</v>
      </c>
    </row>
    <row r="809" spans="1:3" x14ac:dyDescent="0.25">
      <c r="A809" t="s">
        <v>203</v>
      </c>
      <c r="B809" t="s">
        <v>3</v>
      </c>
      <c r="C809">
        <v>19900</v>
      </c>
    </row>
    <row r="810" spans="1:3" x14ac:dyDescent="0.25">
      <c r="A810" t="s">
        <v>203</v>
      </c>
      <c r="B810" t="s">
        <v>35</v>
      </c>
      <c r="C810">
        <v>11500</v>
      </c>
    </row>
    <row r="811" spans="1:3" x14ac:dyDescent="0.25">
      <c r="A811" t="s">
        <v>203</v>
      </c>
      <c r="B811" t="s">
        <v>86</v>
      </c>
      <c r="C811">
        <v>85287.5</v>
      </c>
    </row>
    <row r="812" spans="1:3" x14ac:dyDescent="0.25">
      <c r="A812" t="s">
        <v>203</v>
      </c>
      <c r="B812" t="s">
        <v>38</v>
      </c>
      <c r="C812">
        <v>9950</v>
      </c>
    </row>
    <row r="813" spans="1:3" x14ac:dyDescent="0.25">
      <c r="A813" t="s">
        <v>203</v>
      </c>
      <c r="B813" t="s">
        <v>65</v>
      </c>
      <c r="C813">
        <v>432250</v>
      </c>
    </row>
    <row r="814" spans="1:3" x14ac:dyDescent="0.25">
      <c r="A814" t="s">
        <v>203</v>
      </c>
      <c r="B814" t="s">
        <v>2</v>
      </c>
      <c r="C814">
        <v>101535</v>
      </c>
    </row>
    <row r="815" spans="1:3" x14ac:dyDescent="0.25">
      <c r="A815" t="s">
        <v>203</v>
      </c>
      <c r="B815" t="s">
        <v>85</v>
      </c>
      <c r="C815">
        <v>101535</v>
      </c>
    </row>
    <row r="816" spans="1:3" x14ac:dyDescent="0.25">
      <c r="A816" t="s">
        <v>203</v>
      </c>
      <c r="B816" t="s">
        <v>82</v>
      </c>
      <c r="C816">
        <v>1100</v>
      </c>
    </row>
    <row r="817" spans="1:3" x14ac:dyDescent="0.25">
      <c r="A817" t="s">
        <v>203</v>
      </c>
      <c r="B817" t="s">
        <v>0</v>
      </c>
      <c r="C817">
        <v>1000</v>
      </c>
    </row>
    <row r="818" spans="1:3" x14ac:dyDescent="0.25">
      <c r="A818" t="s">
        <v>203</v>
      </c>
      <c r="B818" t="s">
        <v>6</v>
      </c>
      <c r="C818">
        <v>7200</v>
      </c>
    </row>
    <row r="819" spans="1:3" x14ac:dyDescent="0.25">
      <c r="A819" t="s">
        <v>203</v>
      </c>
      <c r="B819" t="s">
        <v>5</v>
      </c>
      <c r="C819">
        <v>42925</v>
      </c>
    </row>
    <row r="820" spans="1:3" x14ac:dyDescent="0.25">
      <c r="A820" t="s">
        <v>203</v>
      </c>
      <c r="B820" t="s">
        <v>62</v>
      </c>
      <c r="C820">
        <v>15500</v>
      </c>
    </row>
    <row r="821" spans="1:3" x14ac:dyDescent="0.25">
      <c r="A821" t="s">
        <v>203</v>
      </c>
      <c r="B821" t="s">
        <v>1</v>
      </c>
      <c r="C821">
        <v>157575</v>
      </c>
    </row>
    <row r="822" spans="1:3" x14ac:dyDescent="0.25">
      <c r="A822" t="s">
        <v>203</v>
      </c>
      <c r="B822" t="s">
        <v>64</v>
      </c>
      <c r="C822">
        <v>1550</v>
      </c>
    </row>
    <row r="823" spans="1:3" x14ac:dyDescent="0.25">
      <c r="A823" t="s">
        <v>203</v>
      </c>
      <c r="B823" t="s">
        <v>63</v>
      </c>
      <c r="C823">
        <v>26350</v>
      </c>
    </row>
    <row r="824" spans="1:3" x14ac:dyDescent="0.25">
      <c r="A824" t="s">
        <v>203</v>
      </c>
      <c r="B824" t="s">
        <v>131</v>
      </c>
      <c r="C824">
        <v>10500</v>
      </c>
    </row>
    <row r="825" spans="1:3" x14ac:dyDescent="0.25">
      <c r="A825" t="s">
        <v>203</v>
      </c>
      <c r="B825" t="s">
        <v>68</v>
      </c>
      <c r="C825">
        <v>100</v>
      </c>
    </row>
    <row r="826" spans="1:3" x14ac:dyDescent="0.25">
      <c r="A826" t="s">
        <v>203</v>
      </c>
      <c r="B826" t="s">
        <v>69</v>
      </c>
      <c r="C826">
        <v>5</v>
      </c>
    </row>
    <row r="827" spans="1:3" x14ac:dyDescent="0.25">
      <c r="A827" t="s">
        <v>203</v>
      </c>
      <c r="B827" t="s">
        <v>67</v>
      </c>
      <c r="C827">
        <v>100</v>
      </c>
    </row>
    <row r="828" spans="1:3" x14ac:dyDescent="0.25">
      <c r="A828" t="s">
        <v>203</v>
      </c>
      <c r="B828" t="s">
        <v>52</v>
      </c>
      <c r="C828">
        <v>500</v>
      </c>
    </row>
    <row r="829" spans="1:3" x14ac:dyDescent="0.25">
      <c r="A829" t="s">
        <v>203</v>
      </c>
      <c r="B829" t="s">
        <v>8</v>
      </c>
      <c r="C829">
        <v>25</v>
      </c>
    </row>
    <row r="830" spans="1:3" x14ac:dyDescent="0.25">
      <c r="A830" t="s">
        <v>128</v>
      </c>
      <c r="B830" t="s">
        <v>68</v>
      </c>
      <c r="C830">
        <v>100</v>
      </c>
    </row>
    <row r="831" spans="1:3" x14ac:dyDescent="0.25">
      <c r="A831" t="s">
        <v>128</v>
      </c>
      <c r="B831" t="s">
        <v>129</v>
      </c>
      <c r="C831">
        <v>100</v>
      </c>
    </row>
    <row r="832" spans="1:3" x14ac:dyDescent="0.25">
      <c r="A832" t="s">
        <v>128</v>
      </c>
      <c r="B832" t="s">
        <v>82</v>
      </c>
      <c r="C832">
        <v>100</v>
      </c>
    </row>
    <row r="833" spans="1:3" x14ac:dyDescent="0.25">
      <c r="A833" t="s">
        <v>128</v>
      </c>
      <c r="B833" t="s">
        <v>69</v>
      </c>
      <c r="C833">
        <v>5</v>
      </c>
    </row>
    <row r="834" spans="1:3" x14ac:dyDescent="0.25">
      <c r="A834" t="s">
        <v>128</v>
      </c>
      <c r="B834" t="s">
        <v>130</v>
      </c>
      <c r="C834">
        <v>50</v>
      </c>
    </row>
    <row r="835" spans="1:3" x14ac:dyDescent="0.25">
      <c r="A835" t="s">
        <v>128</v>
      </c>
      <c r="B835" t="s">
        <v>67</v>
      </c>
      <c r="C835">
        <v>100</v>
      </c>
    </row>
    <row r="836" spans="1:3" x14ac:dyDescent="0.25">
      <c r="A836" t="s">
        <v>128</v>
      </c>
      <c r="B836" t="s">
        <v>52</v>
      </c>
      <c r="C836">
        <v>500</v>
      </c>
    </row>
    <row r="837" spans="1:3" x14ac:dyDescent="0.25">
      <c r="A837" t="s">
        <v>128</v>
      </c>
      <c r="B837" t="s">
        <v>2</v>
      </c>
      <c r="C837">
        <v>12435</v>
      </c>
    </row>
    <row r="838" spans="1:3" x14ac:dyDescent="0.25">
      <c r="A838" t="s">
        <v>128</v>
      </c>
      <c r="B838" t="s">
        <v>4</v>
      </c>
      <c r="C838">
        <v>7787.5</v>
      </c>
    </row>
    <row r="839" spans="1:3" x14ac:dyDescent="0.25">
      <c r="A839" t="s">
        <v>128</v>
      </c>
      <c r="B839" t="s">
        <v>62</v>
      </c>
      <c r="C839">
        <v>10500</v>
      </c>
    </row>
    <row r="840" spans="1:3" x14ac:dyDescent="0.25">
      <c r="A840" t="s">
        <v>128</v>
      </c>
      <c r="B840" t="s">
        <v>86</v>
      </c>
      <c r="C840">
        <v>7787.5</v>
      </c>
    </row>
    <row r="841" spans="1:3" x14ac:dyDescent="0.25">
      <c r="A841" t="s">
        <v>128</v>
      </c>
      <c r="B841" t="s">
        <v>85</v>
      </c>
      <c r="C841">
        <v>12435</v>
      </c>
    </row>
    <row r="842" spans="1:3" x14ac:dyDescent="0.25">
      <c r="A842" t="s">
        <v>128</v>
      </c>
      <c r="B842" t="s">
        <v>64</v>
      </c>
      <c r="C842">
        <v>1050</v>
      </c>
    </row>
    <row r="843" spans="1:3" x14ac:dyDescent="0.25">
      <c r="A843" t="s">
        <v>128</v>
      </c>
      <c r="B843" t="s">
        <v>63</v>
      </c>
      <c r="C843">
        <v>17850</v>
      </c>
    </row>
    <row r="844" spans="1:3" x14ac:dyDescent="0.25">
      <c r="A844" t="s">
        <v>128</v>
      </c>
      <c r="B844" t="s">
        <v>65</v>
      </c>
      <c r="C844">
        <v>34750</v>
      </c>
    </row>
    <row r="845" spans="1:3" x14ac:dyDescent="0.25">
      <c r="A845" t="s">
        <v>128</v>
      </c>
      <c r="B845" t="s">
        <v>3</v>
      </c>
      <c r="C845">
        <v>900</v>
      </c>
    </row>
    <row r="846" spans="1:3" x14ac:dyDescent="0.25">
      <c r="A846" t="s">
        <v>128</v>
      </c>
      <c r="B846" t="s">
        <v>35</v>
      </c>
      <c r="C846">
        <v>1500</v>
      </c>
    </row>
    <row r="847" spans="1:3" x14ac:dyDescent="0.25">
      <c r="A847" t="s">
        <v>128</v>
      </c>
      <c r="B847" t="s">
        <v>38</v>
      </c>
      <c r="C847">
        <v>450</v>
      </c>
    </row>
    <row r="848" spans="1:3" x14ac:dyDescent="0.25">
      <c r="A848" t="s">
        <v>128</v>
      </c>
      <c r="B848" t="s">
        <v>6</v>
      </c>
      <c r="C848">
        <v>200</v>
      </c>
    </row>
    <row r="849" spans="1:3" x14ac:dyDescent="0.25">
      <c r="A849" t="s">
        <v>128</v>
      </c>
      <c r="B849" t="s">
        <v>5</v>
      </c>
      <c r="C849">
        <v>3925</v>
      </c>
    </row>
    <row r="850" spans="1:3" x14ac:dyDescent="0.25">
      <c r="A850" t="s">
        <v>128</v>
      </c>
      <c r="B850" t="s">
        <v>1</v>
      </c>
      <c r="C850">
        <v>12575</v>
      </c>
    </row>
    <row r="851" spans="1:3" x14ac:dyDescent="0.25">
      <c r="A851" t="s">
        <v>128</v>
      </c>
      <c r="B851" t="s">
        <v>8</v>
      </c>
      <c r="C851">
        <v>25</v>
      </c>
    </row>
    <row r="852" spans="1:3" x14ac:dyDescent="0.25">
      <c r="A852" t="s">
        <v>128</v>
      </c>
      <c r="B852" t="s">
        <v>131</v>
      </c>
      <c r="C852">
        <v>500</v>
      </c>
    </row>
    <row r="853" spans="1:3" x14ac:dyDescent="0.25">
      <c r="A853" t="s">
        <v>48</v>
      </c>
      <c r="B853" t="s">
        <v>4</v>
      </c>
      <c r="C853">
        <v>1</v>
      </c>
    </row>
    <row r="854" spans="1:3" x14ac:dyDescent="0.25">
      <c r="A854" t="s">
        <v>48</v>
      </c>
      <c r="B854" t="s">
        <v>8</v>
      </c>
      <c r="C854">
        <v>1</v>
      </c>
    </row>
    <row r="855" spans="1:3" x14ac:dyDescent="0.25">
      <c r="A855" t="s">
        <v>48</v>
      </c>
      <c r="B855" t="s">
        <v>86</v>
      </c>
      <c r="C855">
        <v>1</v>
      </c>
    </row>
    <row r="856" spans="1:3" x14ac:dyDescent="0.25">
      <c r="A856" t="s">
        <v>48</v>
      </c>
      <c r="B856" t="s">
        <v>2</v>
      </c>
      <c r="C856">
        <v>2</v>
      </c>
    </row>
    <row r="857" spans="1:3" x14ac:dyDescent="0.25">
      <c r="A857" t="s">
        <v>48</v>
      </c>
      <c r="B857" t="s">
        <v>85</v>
      </c>
      <c r="C857">
        <v>2</v>
      </c>
    </row>
    <row r="858" spans="1:3" x14ac:dyDescent="0.25">
      <c r="A858" t="s">
        <v>49</v>
      </c>
      <c r="B858" t="s">
        <v>42</v>
      </c>
      <c r="C858">
        <v>1</v>
      </c>
    </row>
    <row r="859" spans="1:3" x14ac:dyDescent="0.25">
      <c r="A859" t="s">
        <v>49</v>
      </c>
      <c r="B859" t="s">
        <v>24</v>
      </c>
      <c r="C859">
        <v>1</v>
      </c>
    </row>
    <row r="860" spans="1:3" x14ac:dyDescent="0.25">
      <c r="A860" t="s">
        <v>49</v>
      </c>
      <c r="B860" t="s">
        <v>5</v>
      </c>
      <c r="C860">
        <v>1</v>
      </c>
    </row>
    <row r="861" spans="1:3" x14ac:dyDescent="0.25">
      <c r="A861" t="s">
        <v>49</v>
      </c>
      <c r="B861" t="s">
        <v>8</v>
      </c>
      <c r="C861">
        <v>1.5</v>
      </c>
    </row>
    <row r="862" spans="1:3" x14ac:dyDescent="0.25">
      <c r="A862" t="s">
        <v>49</v>
      </c>
      <c r="B862" t="s">
        <v>2</v>
      </c>
      <c r="C862">
        <v>5.5</v>
      </c>
    </row>
    <row r="863" spans="1:3" x14ac:dyDescent="0.25">
      <c r="A863" t="s">
        <v>49</v>
      </c>
      <c r="B863" t="s">
        <v>1</v>
      </c>
      <c r="C863">
        <v>3</v>
      </c>
    </row>
    <row r="864" spans="1:3" x14ac:dyDescent="0.25">
      <c r="A864" t="s">
        <v>49</v>
      </c>
      <c r="B864" t="s">
        <v>4</v>
      </c>
      <c r="C864">
        <v>1.5</v>
      </c>
    </row>
    <row r="865" spans="1:3" x14ac:dyDescent="0.25">
      <c r="A865" t="s">
        <v>49</v>
      </c>
      <c r="B865" t="s">
        <v>86</v>
      </c>
      <c r="C865">
        <v>1.5</v>
      </c>
    </row>
    <row r="866" spans="1:3" x14ac:dyDescent="0.25">
      <c r="A866" t="s">
        <v>49</v>
      </c>
      <c r="B866" t="s">
        <v>85</v>
      </c>
      <c r="C866">
        <v>5.5</v>
      </c>
    </row>
    <row r="867" spans="1:3" x14ac:dyDescent="0.25">
      <c r="A867" t="s">
        <v>50</v>
      </c>
      <c r="B867" t="s">
        <v>6</v>
      </c>
      <c r="C867">
        <v>1</v>
      </c>
    </row>
    <row r="868" spans="1:3" x14ac:dyDescent="0.25">
      <c r="A868" t="s">
        <v>50</v>
      </c>
      <c r="B868" t="s">
        <v>87</v>
      </c>
      <c r="C868">
        <v>1</v>
      </c>
    </row>
    <row r="869" spans="1:3" x14ac:dyDescent="0.25">
      <c r="A869" t="s">
        <v>50</v>
      </c>
      <c r="B869" t="s">
        <v>53</v>
      </c>
      <c r="C869">
        <v>1</v>
      </c>
    </row>
    <row r="870" spans="1:3" x14ac:dyDescent="0.25">
      <c r="A870" t="s">
        <v>50</v>
      </c>
      <c r="B870" t="s">
        <v>1</v>
      </c>
      <c r="C870">
        <v>19</v>
      </c>
    </row>
    <row r="871" spans="1:3" x14ac:dyDescent="0.25">
      <c r="A871" t="s">
        <v>50</v>
      </c>
      <c r="B871" t="s">
        <v>5</v>
      </c>
      <c r="C871">
        <v>5</v>
      </c>
    </row>
    <row r="872" spans="1:3" x14ac:dyDescent="0.25">
      <c r="A872" t="s">
        <v>50</v>
      </c>
      <c r="B872" t="s">
        <v>3</v>
      </c>
      <c r="C872">
        <v>2</v>
      </c>
    </row>
    <row r="873" spans="1:3" x14ac:dyDescent="0.25">
      <c r="A873" t="s">
        <v>50</v>
      </c>
      <c r="B873" t="s">
        <v>4</v>
      </c>
      <c r="C873">
        <v>9.5</v>
      </c>
    </row>
    <row r="874" spans="1:3" x14ac:dyDescent="0.25">
      <c r="A874" t="s">
        <v>50</v>
      </c>
      <c r="B874" t="s">
        <v>86</v>
      </c>
      <c r="C874">
        <v>9.5</v>
      </c>
    </row>
    <row r="875" spans="1:3" x14ac:dyDescent="0.25">
      <c r="A875" t="s">
        <v>50</v>
      </c>
      <c r="B875" t="s">
        <v>2</v>
      </c>
      <c r="C875">
        <v>34</v>
      </c>
    </row>
    <row r="876" spans="1:3" x14ac:dyDescent="0.25">
      <c r="A876" t="s">
        <v>50</v>
      </c>
      <c r="B876" t="s">
        <v>85</v>
      </c>
      <c r="C876">
        <v>34</v>
      </c>
    </row>
    <row r="877" spans="1:3" x14ac:dyDescent="0.25">
      <c r="A877" t="s">
        <v>50</v>
      </c>
      <c r="B877" t="s">
        <v>38</v>
      </c>
      <c r="C877">
        <v>1</v>
      </c>
    </row>
    <row r="878" spans="1:3" x14ac:dyDescent="0.25">
      <c r="A878" t="s">
        <v>50</v>
      </c>
      <c r="B878" t="s">
        <v>65</v>
      </c>
      <c r="C878">
        <v>20</v>
      </c>
    </row>
    <row r="879" spans="1:3" x14ac:dyDescent="0.25">
      <c r="A879" t="s">
        <v>50</v>
      </c>
      <c r="B879" t="s">
        <v>8</v>
      </c>
      <c r="C879">
        <v>6</v>
      </c>
    </row>
    <row r="880" spans="1:3" x14ac:dyDescent="0.25">
      <c r="A880" t="s">
        <v>50</v>
      </c>
      <c r="B880" t="s">
        <v>23</v>
      </c>
      <c r="C880">
        <v>2</v>
      </c>
    </row>
    <row r="881" spans="1:3" x14ac:dyDescent="0.25">
      <c r="A881" t="s">
        <v>50</v>
      </c>
      <c r="B881" t="s">
        <v>35</v>
      </c>
      <c r="C881">
        <v>1</v>
      </c>
    </row>
    <row r="882" spans="1:3" x14ac:dyDescent="0.25">
      <c r="A882" t="s">
        <v>126</v>
      </c>
      <c r="B882" t="s">
        <v>38</v>
      </c>
      <c r="C882">
        <v>5</v>
      </c>
    </row>
    <row r="883" spans="1:3" x14ac:dyDescent="0.25">
      <c r="A883" t="s">
        <v>126</v>
      </c>
      <c r="B883" t="s">
        <v>5</v>
      </c>
      <c r="C883">
        <v>2</v>
      </c>
    </row>
    <row r="884" spans="1:3" x14ac:dyDescent="0.25">
      <c r="A884" t="s">
        <v>126</v>
      </c>
      <c r="B884" t="s">
        <v>35</v>
      </c>
      <c r="C884">
        <v>2</v>
      </c>
    </row>
    <row r="885" spans="1:3" x14ac:dyDescent="0.25">
      <c r="A885" t="s">
        <v>126</v>
      </c>
      <c r="B885" t="s">
        <v>1</v>
      </c>
      <c r="C885">
        <v>6</v>
      </c>
    </row>
    <row r="886" spans="1:3" x14ac:dyDescent="0.25">
      <c r="A886" t="s">
        <v>126</v>
      </c>
      <c r="B886" t="s">
        <v>2</v>
      </c>
      <c r="C886">
        <v>12</v>
      </c>
    </row>
    <row r="887" spans="1:3" x14ac:dyDescent="0.25">
      <c r="A887" t="s">
        <v>126</v>
      </c>
      <c r="B887" t="s">
        <v>4</v>
      </c>
      <c r="C887">
        <v>3</v>
      </c>
    </row>
    <row r="888" spans="1:3" x14ac:dyDescent="0.25">
      <c r="A888" t="s">
        <v>126</v>
      </c>
      <c r="B888" t="s">
        <v>86</v>
      </c>
      <c r="C888">
        <v>3</v>
      </c>
    </row>
    <row r="889" spans="1:3" x14ac:dyDescent="0.25">
      <c r="A889" t="s">
        <v>126</v>
      </c>
      <c r="B889" t="s">
        <v>85</v>
      </c>
      <c r="C889">
        <v>12</v>
      </c>
    </row>
    <row r="890" spans="1:3" x14ac:dyDescent="0.25">
      <c r="A890" t="s">
        <v>151</v>
      </c>
      <c r="B890" t="s">
        <v>1</v>
      </c>
      <c r="C890">
        <v>2</v>
      </c>
    </row>
    <row r="891" spans="1:3" x14ac:dyDescent="0.25">
      <c r="A891" t="s">
        <v>151</v>
      </c>
      <c r="B891" t="s">
        <v>104</v>
      </c>
      <c r="C891">
        <v>2</v>
      </c>
    </row>
    <row r="892" spans="1:3" x14ac:dyDescent="0.25">
      <c r="A892" t="s">
        <v>151</v>
      </c>
      <c r="B892" t="s">
        <v>4</v>
      </c>
      <c r="C892">
        <v>1</v>
      </c>
    </row>
    <row r="893" spans="1:3" x14ac:dyDescent="0.25">
      <c r="A893" t="s">
        <v>151</v>
      </c>
      <c r="B893" t="s">
        <v>86</v>
      </c>
      <c r="C893">
        <v>1</v>
      </c>
    </row>
    <row r="894" spans="1:3" x14ac:dyDescent="0.25">
      <c r="A894" t="s">
        <v>151</v>
      </c>
      <c r="B894" t="s">
        <v>105</v>
      </c>
      <c r="C894">
        <v>2</v>
      </c>
    </row>
    <row r="895" spans="1:3" x14ac:dyDescent="0.25">
      <c r="A895" t="s">
        <v>67</v>
      </c>
      <c r="B895" t="s">
        <v>4</v>
      </c>
      <c r="C895">
        <v>27.5</v>
      </c>
    </row>
    <row r="896" spans="1:3" x14ac:dyDescent="0.25">
      <c r="A896" t="s">
        <v>67</v>
      </c>
      <c r="B896" t="s">
        <v>5</v>
      </c>
      <c r="C896">
        <v>15</v>
      </c>
    </row>
    <row r="897" spans="1:3" x14ac:dyDescent="0.25">
      <c r="A897" t="s">
        <v>67</v>
      </c>
      <c r="B897" t="s">
        <v>35</v>
      </c>
      <c r="C897">
        <v>5</v>
      </c>
    </row>
    <row r="898" spans="1:3" x14ac:dyDescent="0.25">
      <c r="A898" t="s">
        <v>67</v>
      </c>
      <c r="B898" t="s">
        <v>86</v>
      </c>
      <c r="C898">
        <v>27.5</v>
      </c>
    </row>
    <row r="899" spans="1:3" x14ac:dyDescent="0.25">
      <c r="A899" t="s">
        <v>67</v>
      </c>
      <c r="B899" t="s">
        <v>1</v>
      </c>
      <c r="C899">
        <v>45</v>
      </c>
    </row>
    <row r="900" spans="1:3" x14ac:dyDescent="0.25">
      <c r="A900" t="s">
        <v>67</v>
      </c>
      <c r="B900" t="s">
        <v>2</v>
      </c>
      <c r="C900">
        <v>40</v>
      </c>
    </row>
    <row r="901" spans="1:3" x14ac:dyDescent="0.25">
      <c r="A901" t="s">
        <v>67</v>
      </c>
      <c r="B901" t="s">
        <v>85</v>
      </c>
      <c r="C901">
        <v>40</v>
      </c>
    </row>
    <row r="902" spans="1:3" x14ac:dyDescent="0.25">
      <c r="A902" t="s">
        <v>131</v>
      </c>
      <c r="B902" t="s">
        <v>65</v>
      </c>
      <c r="C902">
        <v>20</v>
      </c>
    </row>
    <row r="903" spans="1:3" x14ac:dyDescent="0.25">
      <c r="A903" t="s">
        <v>0</v>
      </c>
      <c r="B903" t="s">
        <v>6</v>
      </c>
      <c r="C903">
        <v>5</v>
      </c>
    </row>
    <row r="904" spans="1:3" x14ac:dyDescent="0.25">
      <c r="A904" t="s">
        <v>0</v>
      </c>
      <c r="B904" t="s">
        <v>5</v>
      </c>
      <c r="C904">
        <v>15</v>
      </c>
    </row>
    <row r="905" spans="1:3" x14ac:dyDescent="0.25">
      <c r="A905" t="s">
        <v>0</v>
      </c>
      <c r="B905" t="s">
        <v>1</v>
      </c>
      <c r="C905">
        <v>65</v>
      </c>
    </row>
    <row r="906" spans="1:3" x14ac:dyDescent="0.25">
      <c r="A906" t="s">
        <v>0</v>
      </c>
      <c r="B906" t="s">
        <v>3</v>
      </c>
      <c r="C906">
        <v>10</v>
      </c>
    </row>
    <row r="907" spans="1:3" x14ac:dyDescent="0.25">
      <c r="A907" t="s">
        <v>0</v>
      </c>
      <c r="B907" t="s">
        <v>4</v>
      </c>
      <c r="C907">
        <v>32.5</v>
      </c>
    </row>
    <row r="908" spans="1:3" x14ac:dyDescent="0.25">
      <c r="A908" t="s">
        <v>0</v>
      </c>
      <c r="B908" t="s">
        <v>86</v>
      </c>
      <c r="C908">
        <v>32.5</v>
      </c>
    </row>
    <row r="909" spans="1:3" x14ac:dyDescent="0.25">
      <c r="A909" t="s">
        <v>0</v>
      </c>
      <c r="B909" t="s">
        <v>2</v>
      </c>
      <c r="C909">
        <v>15</v>
      </c>
    </row>
    <row r="910" spans="1:3" x14ac:dyDescent="0.25">
      <c r="A910" t="s">
        <v>0</v>
      </c>
      <c r="B910" t="s">
        <v>85</v>
      </c>
      <c r="C910">
        <v>15</v>
      </c>
    </row>
    <row r="911" spans="1:3" x14ac:dyDescent="0.25">
      <c r="A911" t="s">
        <v>0</v>
      </c>
      <c r="B911" t="s">
        <v>38</v>
      </c>
      <c r="C911">
        <v>5</v>
      </c>
    </row>
    <row r="912" spans="1:3" x14ac:dyDescent="0.25">
      <c r="A912" t="s">
        <v>0</v>
      </c>
      <c r="B912" t="s">
        <v>65</v>
      </c>
      <c r="C912">
        <v>100</v>
      </c>
    </row>
    <row r="913" spans="1:3" x14ac:dyDescent="0.25">
      <c r="A913" t="s">
        <v>114</v>
      </c>
      <c r="B913" t="s">
        <v>6</v>
      </c>
      <c r="C913">
        <v>35</v>
      </c>
    </row>
    <row r="914" spans="1:3" x14ac:dyDescent="0.25">
      <c r="A914" t="s">
        <v>114</v>
      </c>
      <c r="B914" t="s">
        <v>82</v>
      </c>
      <c r="C914">
        <v>5</v>
      </c>
    </row>
    <row r="915" spans="1:3" x14ac:dyDescent="0.25">
      <c r="A915" t="s">
        <v>114</v>
      </c>
      <c r="B915" t="s">
        <v>0</v>
      </c>
      <c r="C915">
        <v>4</v>
      </c>
    </row>
    <row r="916" spans="1:3" x14ac:dyDescent="0.25">
      <c r="A916" t="s">
        <v>114</v>
      </c>
      <c r="B916" t="s">
        <v>1</v>
      </c>
      <c r="C916">
        <v>710</v>
      </c>
    </row>
    <row r="917" spans="1:3" x14ac:dyDescent="0.25">
      <c r="A917" t="s">
        <v>114</v>
      </c>
      <c r="B917" t="s">
        <v>5</v>
      </c>
      <c r="C917">
        <v>190</v>
      </c>
    </row>
    <row r="918" spans="1:3" x14ac:dyDescent="0.25">
      <c r="A918" t="s">
        <v>114</v>
      </c>
      <c r="B918" t="s">
        <v>3</v>
      </c>
      <c r="C918">
        <v>70</v>
      </c>
    </row>
    <row r="919" spans="1:3" x14ac:dyDescent="0.25">
      <c r="A919" t="s">
        <v>114</v>
      </c>
      <c r="B919" t="s">
        <v>4</v>
      </c>
      <c r="C919">
        <v>355</v>
      </c>
    </row>
    <row r="920" spans="1:3" x14ac:dyDescent="0.25">
      <c r="A920" t="s">
        <v>114</v>
      </c>
      <c r="B920" t="s">
        <v>86</v>
      </c>
      <c r="C920">
        <v>355</v>
      </c>
    </row>
    <row r="921" spans="1:3" x14ac:dyDescent="0.25">
      <c r="A921" t="s">
        <v>114</v>
      </c>
      <c r="B921" t="s">
        <v>2</v>
      </c>
      <c r="C921">
        <v>190.5</v>
      </c>
    </row>
    <row r="922" spans="1:3" x14ac:dyDescent="0.25">
      <c r="A922" t="s">
        <v>114</v>
      </c>
      <c r="B922" t="s">
        <v>85</v>
      </c>
      <c r="C922">
        <v>190.5</v>
      </c>
    </row>
    <row r="923" spans="1:3" x14ac:dyDescent="0.25">
      <c r="A923" t="s">
        <v>114</v>
      </c>
      <c r="B923" t="s">
        <v>38</v>
      </c>
      <c r="C923">
        <v>35</v>
      </c>
    </row>
    <row r="924" spans="1:3" x14ac:dyDescent="0.25">
      <c r="A924" t="s">
        <v>114</v>
      </c>
      <c r="B924" t="s">
        <v>65</v>
      </c>
      <c r="C924">
        <v>737.5</v>
      </c>
    </row>
    <row r="925" spans="1:3" x14ac:dyDescent="0.25">
      <c r="A925" t="s">
        <v>114</v>
      </c>
      <c r="B925" t="s">
        <v>62</v>
      </c>
      <c r="C925">
        <v>25</v>
      </c>
    </row>
    <row r="926" spans="1:3" x14ac:dyDescent="0.25">
      <c r="A926" t="s">
        <v>114</v>
      </c>
      <c r="B926" t="s">
        <v>64</v>
      </c>
      <c r="C926">
        <v>2.5</v>
      </c>
    </row>
    <row r="927" spans="1:3" x14ac:dyDescent="0.25">
      <c r="A927" t="s">
        <v>114</v>
      </c>
      <c r="B927" t="s">
        <v>63</v>
      </c>
      <c r="C927">
        <v>42.5</v>
      </c>
    </row>
    <row r="928" spans="1:3" x14ac:dyDescent="0.25">
      <c r="A928" t="s">
        <v>115</v>
      </c>
      <c r="B928" t="s">
        <v>6</v>
      </c>
      <c r="C928">
        <v>155</v>
      </c>
    </row>
    <row r="929" spans="1:3" x14ac:dyDescent="0.25">
      <c r="A929" t="s">
        <v>115</v>
      </c>
      <c r="B929" t="s">
        <v>82</v>
      </c>
      <c r="C929">
        <v>25</v>
      </c>
    </row>
    <row r="930" spans="1:3" x14ac:dyDescent="0.25">
      <c r="A930" t="s">
        <v>115</v>
      </c>
      <c r="B930" t="s">
        <v>114</v>
      </c>
      <c r="C930">
        <v>4</v>
      </c>
    </row>
    <row r="931" spans="1:3" x14ac:dyDescent="0.25">
      <c r="A931" t="s">
        <v>115</v>
      </c>
      <c r="B931" t="s">
        <v>1</v>
      </c>
      <c r="C931">
        <v>3290</v>
      </c>
    </row>
    <row r="932" spans="1:3" x14ac:dyDescent="0.25">
      <c r="A932" t="s">
        <v>115</v>
      </c>
      <c r="B932" t="s">
        <v>5</v>
      </c>
      <c r="C932">
        <v>890</v>
      </c>
    </row>
    <row r="933" spans="1:3" x14ac:dyDescent="0.25">
      <c r="A933" t="s">
        <v>115</v>
      </c>
      <c r="B933" t="s">
        <v>3</v>
      </c>
      <c r="C933">
        <v>310</v>
      </c>
    </row>
    <row r="934" spans="1:3" x14ac:dyDescent="0.25">
      <c r="A934" t="s">
        <v>115</v>
      </c>
      <c r="B934" t="s">
        <v>4</v>
      </c>
      <c r="C934">
        <v>1645</v>
      </c>
    </row>
    <row r="935" spans="1:3" x14ac:dyDescent="0.25">
      <c r="A935" t="s">
        <v>115</v>
      </c>
      <c r="B935" t="s">
        <v>86</v>
      </c>
      <c r="C935">
        <v>1645</v>
      </c>
    </row>
    <row r="936" spans="1:3" x14ac:dyDescent="0.25">
      <c r="A936" t="s">
        <v>115</v>
      </c>
      <c r="B936" t="s">
        <v>2</v>
      </c>
      <c r="C936">
        <v>892.5</v>
      </c>
    </row>
    <row r="937" spans="1:3" x14ac:dyDescent="0.25">
      <c r="A937" t="s">
        <v>115</v>
      </c>
      <c r="B937" t="s">
        <v>85</v>
      </c>
      <c r="C937">
        <v>892.5</v>
      </c>
    </row>
    <row r="938" spans="1:3" x14ac:dyDescent="0.25">
      <c r="A938" t="s">
        <v>115</v>
      </c>
      <c r="B938" t="s">
        <v>38</v>
      </c>
      <c r="C938">
        <v>155</v>
      </c>
    </row>
    <row r="939" spans="1:3" x14ac:dyDescent="0.25">
      <c r="A939" t="s">
        <v>115</v>
      </c>
      <c r="B939" t="s">
        <v>65</v>
      </c>
      <c r="C939">
        <v>3287.5</v>
      </c>
    </row>
    <row r="940" spans="1:3" x14ac:dyDescent="0.25">
      <c r="A940" t="s">
        <v>115</v>
      </c>
      <c r="B940" t="s">
        <v>62</v>
      </c>
      <c r="C940">
        <v>125</v>
      </c>
    </row>
    <row r="941" spans="1:3" x14ac:dyDescent="0.25">
      <c r="A941" t="s">
        <v>115</v>
      </c>
      <c r="B941" t="s">
        <v>64</v>
      </c>
      <c r="C941">
        <v>12.5</v>
      </c>
    </row>
    <row r="942" spans="1:3" x14ac:dyDescent="0.25">
      <c r="A942" t="s">
        <v>115</v>
      </c>
      <c r="B942" t="s">
        <v>63</v>
      </c>
      <c r="C942">
        <v>212.5</v>
      </c>
    </row>
    <row r="943" spans="1:3" x14ac:dyDescent="0.25">
      <c r="A943" t="s">
        <v>115</v>
      </c>
      <c r="B943" t="s">
        <v>0</v>
      </c>
      <c r="C943">
        <v>16</v>
      </c>
    </row>
    <row r="944" spans="1:3" x14ac:dyDescent="0.25">
      <c r="A944" t="s">
        <v>30</v>
      </c>
      <c r="B944" t="s">
        <v>5</v>
      </c>
      <c r="C944">
        <v>5</v>
      </c>
    </row>
    <row r="945" spans="1:3" x14ac:dyDescent="0.25">
      <c r="A945" t="s">
        <v>30</v>
      </c>
      <c r="B945" t="s">
        <v>2</v>
      </c>
      <c r="C945">
        <v>16</v>
      </c>
    </row>
    <row r="946" spans="1:3" x14ac:dyDescent="0.25">
      <c r="A946" t="s">
        <v>30</v>
      </c>
      <c r="B946" t="s">
        <v>24</v>
      </c>
      <c r="C946">
        <v>4</v>
      </c>
    </row>
    <row r="947" spans="1:3" x14ac:dyDescent="0.25">
      <c r="A947" t="s">
        <v>30</v>
      </c>
      <c r="B947" t="s">
        <v>1</v>
      </c>
      <c r="C947">
        <v>15</v>
      </c>
    </row>
    <row r="948" spans="1:3" x14ac:dyDescent="0.25">
      <c r="A948" t="s">
        <v>30</v>
      </c>
      <c r="B948" t="s">
        <v>4</v>
      </c>
      <c r="C948">
        <v>7.5</v>
      </c>
    </row>
    <row r="949" spans="1:3" x14ac:dyDescent="0.25">
      <c r="A949" t="s">
        <v>30</v>
      </c>
      <c r="B949" t="s">
        <v>86</v>
      </c>
      <c r="C949">
        <v>7.5</v>
      </c>
    </row>
    <row r="950" spans="1:3" x14ac:dyDescent="0.25">
      <c r="A950" t="s">
        <v>30</v>
      </c>
      <c r="B950" t="s">
        <v>85</v>
      </c>
      <c r="C950">
        <v>16</v>
      </c>
    </row>
    <row r="951" spans="1:3" x14ac:dyDescent="0.25">
      <c r="A951" t="s">
        <v>30</v>
      </c>
      <c r="B951" t="s">
        <v>8</v>
      </c>
      <c r="C951">
        <v>2</v>
      </c>
    </row>
    <row r="952" spans="1:3" x14ac:dyDescent="0.25">
      <c r="A952" t="s">
        <v>47</v>
      </c>
      <c r="B952" t="s">
        <v>5</v>
      </c>
      <c r="C952">
        <v>25</v>
      </c>
    </row>
    <row r="953" spans="1:3" x14ac:dyDescent="0.25">
      <c r="A953" t="s">
        <v>47</v>
      </c>
      <c r="B953" t="s">
        <v>46</v>
      </c>
      <c r="C953">
        <v>1</v>
      </c>
    </row>
    <row r="954" spans="1:3" x14ac:dyDescent="0.25">
      <c r="A954" t="s">
        <v>47</v>
      </c>
      <c r="B954" t="s">
        <v>1</v>
      </c>
      <c r="C954">
        <v>79</v>
      </c>
    </row>
    <row r="955" spans="1:3" x14ac:dyDescent="0.25">
      <c r="A955" t="s">
        <v>47</v>
      </c>
      <c r="B955" t="s">
        <v>2</v>
      </c>
      <c r="C955">
        <v>60</v>
      </c>
    </row>
    <row r="956" spans="1:3" x14ac:dyDescent="0.25">
      <c r="A956" t="s">
        <v>47</v>
      </c>
      <c r="B956" t="s">
        <v>4</v>
      </c>
      <c r="C956">
        <v>39.5</v>
      </c>
    </row>
    <row r="957" spans="1:3" x14ac:dyDescent="0.25">
      <c r="A957" t="s">
        <v>47</v>
      </c>
      <c r="B957" t="s">
        <v>86</v>
      </c>
      <c r="C957">
        <v>39.5</v>
      </c>
    </row>
    <row r="958" spans="1:3" x14ac:dyDescent="0.25">
      <c r="A958" t="s">
        <v>47</v>
      </c>
      <c r="B958" t="s">
        <v>85</v>
      </c>
      <c r="C958">
        <v>60</v>
      </c>
    </row>
    <row r="959" spans="1:3" x14ac:dyDescent="0.25">
      <c r="A959" t="s">
        <v>47</v>
      </c>
      <c r="B959" t="s">
        <v>6</v>
      </c>
      <c r="C959">
        <v>1</v>
      </c>
    </row>
    <row r="960" spans="1:3" x14ac:dyDescent="0.25">
      <c r="A960" t="s">
        <v>47</v>
      </c>
      <c r="B960" t="s">
        <v>44</v>
      </c>
      <c r="C960">
        <v>1</v>
      </c>
    </row>
    <row r="961" spans="1:3" x14ac:dyDescent="0.25">
      <c r="A961" t="s">
        <v>47</v>
      </c>
      <c r="B961" t="s">
        <v>8</v>
      </c>
      <c r="C961">
        <v>16</v>
      </c>
    </row>
    <row r="962" spans="1:3" x14ac:dyDescent="0.25">
      <c r="A962" t="s">
        <v>47</v>
      </c>
      <c r="B962" t="s">
        <v>3</v>
      </c>
      <c r="C962">
        <v>2</v>
      </c>
    </row>
    <row r="963" spans="1:3" x14ac:dyDescent="0.25">
      <c r="A963" t="s">
        <v>47</v>
      </c>
      <c r="B963" t="s">
        <v>38</v>
      </c>
      <c r="C963">
        <v>1</v>
      </c>
    </row>
    <row r="964" spans="1:3" x14ac:dyDescent="0.25">
      <c r="A964" t="s">
        <v>47</v>
      </c>
      <c r="B964" t="s">
        <v>65</v>
      </c>
      <c r="C964">
        <v>20</v>
      </c>
    </row>
    <row r="965" spans="1:3" x14ac:dyDescent="0.25">
      <c r="A965" t="s">
        <v>47</v>
      </c>
      <c r="B965" t="s">
        <v>42</v>
      </c>
      <c r="C965">
        <v>1</v>
      </c>
    </row>
    <row r="966" spans="1:3" x14ac:dyDescent="0.25">
      <c r="A966" t="s">
        <v>46</v>
      </c>
      <c r="B966" t="s">
        <v>6</v>
      </c>
      <c r="C966">
        <v>1</v>
      </c>
    </row>
    <row r="967" spans="1:3" x14ac:dyDescent="0.25">
      <c r="A967" t="s">
        <v>46</v>
      </c>
      <c r="B967" t="s">
        <v>5</v>
      </c>
      <c r="C967">
        <v>20</v>
      </c>
    </row>
    <row r="968" spans="1:3" x14ac:dyDescent="0.25">
      <c r="A968" t="s">
        <v>46</v>
      </c>
      <c r="B968" t="s">
        <v>44</v>
      </c>
      <c r="C968">
        <v>1</v>
      </c>
    </row>
    <row r="969" spans="1:3" x14ac:dyDescent="0.25">
      <c r="A969" t="s">
        <v>46</v>
      </c>
      <c r="B969" t="s">
        <v>8</v>
      </c>
      <c r="C969">
        <v>16</v>
      </c>
    </row>
    <row r="970" spans="1:3" x14ac:dyDescent="0.25">
      <c r="A970" t="s">
        <v>46</v>
      </c>
      <c r="B970" t="s">
        <v>1</v>
      </c>
      <c r="C970">
        <v>64</v>
      </c>
    </row>
    <row r="971" spans="1:3" x14ac:dyDescent="0.25">
      <c r="A971" t="s">
        <v>46</v>
      </c>
      <c r="B971" t="s">
        <v>3</v>
      </c>
      <c r="C971">
        <v>2</v>
      </c>
    </row>
    <row r="972" spans="1:3" x14ac:dyDescent="0.25">
      <c r="A972" t="s">
        <v>46</v>
      </c>
      <c r="B972" t="s">
        <v>4</v>
      </c>
      <c r="C972">
        <v>32</v>
      </c>
    </row>
    <row r="973" spans="1:3" x14ac:dyDescent="0.25">
      <c r="A973" t="s">
        <v>46</v>
      </c>
      <c r="B973" t="s">
        <v>86</v>
      </c>
      <c r="C973">
        <v>32</v>
      </c>
    </row>
    <row r="974" spans="1:3" x14ac:dyDescent="0.25">
      <c r="A974" t="s">
        <v>46</v>
      </c>
      <c r="B974" t="s">
        <v>2</v>
      </c>
      <c r="C974">
        <v>55</v>
      </c>
    </row>
    <row r="975" spans="1:3" x14ac:dyDescent="0.25">
      <c r="A975" t="s">
        <v>46</v>
      </c>
      <c r="B975" t="s">
        <v>85</v>
      </c>
      <c r="C975">
        <v>55</v>
      </c>
    </row>
    <row r="976" spans="1:3" x14ac:dyDescent="0.25">
      <c r="A976" t="s">
        <v>46</v>
      </c>
      <c r="B976" t="s">
        <v>38</v>
      </c>
      <c r="C976">
        <v>1</v>
      </c>
    </row>
    <row r="977" spans="1:3" x14ac:dyDescent="0.25">
      <c r="A977" t="s">
        <v>46</v>
      </c>
      <c r="B977" t="s">
        <v>65</v>
      </c>
      <c r="C977">
        <v>20</v>
      </c>
    </row>
    <row r="978" spans="1:3" x14ac:dyDescent="0.25">
      <c r="A978" t="s">
        <v>46</v>
      </c>
      <c r="B978" t="s">
        <v>42</v>
      </c>
      <c r="C978">
        <v>1</v>
      </c>
    </row>
    <row r="979" spans="1:3" x14ac:dyDescent="0.25">
      <c r="A979" t="s">
        <v>22</v>
      </c>
      <c r="B979" t="s">
        <v>8</v>
      </c>
      <c r="C979">
        <v>5</v>
      </c>
    </row>
    <row r="980" spans="1:3" x14ac:dyDescent="0.25">
      <c r="A980" t="s">
        <v>22</v>
      </c>
      <c r="B980" t="s">
        <v>2</v>
      </c>
      <c r="C980">
        <v>20</v>
      </c>
    </row>
    <row r="981" spans="1:3" x14ac:dyDescent="0.25">
      <c r="A981" t="s">
        <v>22</v>
      </c>
      <c r="B981" t="s">
        <v>23</v>
      </c>
      <c r="C981">
        <v>5</v>
      </c>
    </row>
    <row r="982" spans="1:3" x14ac:dyDescent="0.25">
      <c r="A982" t="s">
        <v>22</v>
      </c>
      <c r="B982" t="s">
        <v>85</v>
      </c>
      <c r="C982">
        <v>20</v>
      </c>
    </row>
    <row r="983" spans="1:3" x14ac:dyDescent="0.25">
      <c r="A983" t="s">
        <v>144</v>
      </c>
      <c r="B983" t="s">
        <v>4</v>
      </c>
      <c r="C983">
        <v>50</v>
      </c>
    </row>
    <row r="984" spans="1:3" x14ac:dyDescent="0.25">
      <c r="A984" t="s">
        <v>144</v>
      </c>
      <c r="B984" t="s">
        <v>8</v>
      </c>
      <c r="C984">
        <v>50</v>
      </c>
    </row>
    <row r="985" spans="1:3" x14ac:dyDescent="0.25">
      <c r="A985" t="s">
        <v>144</v>
      </c>
      <c r="B985" t="s">
        <v>23</v>
      </c>
      <c r="C985">
        <v>20</v>
      </c>
    </row>
    <row r="986" spans="1:3" x14ac:dyDescent="0.25">
      <c r="A986" t="s">
        <v>144</v>
      </c>
      <c r="B986" t="s">
        <v>86</v>
      </c>
      <c r="C986">
        <v>50</v>
      </c>
    </row>
    <row r="987" spans="1:3" x14ac:dyDescent="0.25">
      <c r="A987" t="s">
        <v>144</v>
      </c>
      <c r="B987" t="s">
        <v>2</v>
      </c>
      <c r="C987">
        <v>120</v>
      </c>
    </row>
    <row r="988" spans="1:3" x14ac:dyDescent="0.25">
      <c r="A988" t="s">
        <v>144</v>
      </c>
      <c r="B988" t="s">
        <v>85</v>
      </c>
      <c r="C988">
        <v>120</v>
      </c>
    </row>
    <row r="989" spans="1:3" x14ac:dyDescent="0.25">
      <c r="A989" t="s">
        <v>141</v>
      </c>
      <c r="B989" t="s">
        <v>138</v>
      </c>
      <c r="C989">
        <v>2</v>
      </c>
    </row>
    <row r="990" spans="1:3" x14ac:dyDescent="0.25">
      <c r="A990" t="s">
        <v>141</v>
      </c>
      <c r="B990" t="s">
        <v>35</v>
      </c>
      <c r="C990">
        <v>5</v>
      </c>
    </row>
    <row r="991" spans="1:3" x14ac:dyDescent="0.25">
      <c r="A991" t="s">
        <v>141</v>
      </c>
      <c r="B991" t="s">
        <v>2</v>
      </c>
      <c r="C991">
        <v>27</v>
      </c>
    </row>
    <row r="992" spans="1:3" x14ac:dyDescent="0.25">
      <c r="A992" t="s">
        <v>141</v>
      </c>
      <c r="B992" t="s">
        <v>85</v>
      </c>
      <c r="C992">
        <v>27</v>
      </c>
    </row>
    <row r="993" spans="1:3" x14ac:dyDescent="0.25">
      <c r="A993" t="s">
        <v>107</v>
      </c>
      <c r="B993" t="s">
        <v>35</v>
      </c>
      <c r="C993">
        <v>8</v>
      </c>
    </row>
    <row r="994" spans="1:3" x14ac:dyDescent="0.25">
      <c r="A994" t="s">
        <v>107</v>
      </c>
      <c r="B994" t="s">
        <v>2</v>
      </c>
      <c r="C994">
        <v>40</v>
      </c>
    </row>
    <row r="995" spans="1:3" x14ac:dyDescent="0.25">
      <c r="A995" t="s">
        <v>107</v>
      </c>
      <c r="B995" t="s">
        <v>85</v>
      </c>
      <c r="C995">
        <v>40</v>
      </c>
    </row>
    <row r="996" spans="1:3" x14ac:dyDescent="0.25">
      <c r="A996" t="s">
        <v>99</v>
      </c>
      <c r="B996" t="s">
        <v>35</v>
      </c>
      <c r="C996">
        <v>6</v>
      </c>
    </row>
    <row r="997" spans="1:3" x14ac:dyDescent="0.25">
      <c r="A997" t="s">
        <v>99</v>
      </c>
      <c r="B997" t="s">
        <v>83</v>
      </c>
      <c r="C997">
        <v>10</v>
      </c>
    </row>
    <row r="998" spans="1:3" x14ac:dyDescent="0.25">
      <c r="A998" t="s">
        <v>99</v>
      </c>
      <c r="B998" t="s">
        <v>2</v>
      </c>
      <c r="C998">
        <v>30</v>
      </c>
    </row>
    <row r="999" spans="1:3" x14ac:dyDescent="0.25">
      <c r="A999" t="s">
        <v>99</v>
      </c>
      <c r="B999" t="s">
        <v>85</v>
      </c>
      <c r="C999">
        <v>30</v>
      </c>
    </row>
    <row r="1000" spans="1:3" x14ac:dyDescent="0.25">
      <c r="A1000" t="s">
        <v>99</v>
      </c>
      <c r="B1000" t="s">
        <v>84</v>
      </c>
      <c r="C1000">
        <v>20</v>
      </c>
    </row>
    <row r="1001" spans="1:3" x14ac:dyDescent="0.25">
      <c r="A1001" t="s">
        <v>35</v>
      </c>
      <c r="B1001" t="s">
        <v>2</v>
      </c>
      <c r="C1001">
        <v>5</v>
      </c>
    </row>
    <row r="1002" spans="1:3" x14ac:dyDescent="0.25">
      <c r="A1002" t="s">
        <v>35</v>
      </c>
      <c r="B1002" t="s">
        <v>85</v>
      </c>
      <c r="C1002">
        <v>5</v>
      </c>
    </row>
    <row r="1003" spans="1:3" x14ac:dyDescent="0.25">
      <c r="A1003" t="s">
        <v>83</v>
      </c>
      <c r="B1003" t="s">
        <v>84</v>
      </c>
      <c r="C1003">
        <v>2</v>
      </c>
    </row>
    <row r="1004" spans="1:3" x14ac:dyDescent="0.25">
      <c r="A1004" t="s">
        <v>98</v>
      </c>
      <c r="B1004" t="s">
        <v>84</v>
      </c>
      <c r="C1004">
        <v>5</v>
      </c>
    </row>
    <row r="1005" spans="1:3" x14ac:dyDescent="0.25">
      <c r="A1005" t="s">
        <v>166</v>
      </c>
      <c r="B1005" t="s">
        <v>6</v>
      </c>
      <c r="C1005">
        <v>1</v>
      </c>
    </row>
    <row r="1006" spans="1:3" x14ac:dyDescent="0.25">
      <c r="A1006" t="s">
        <v>166</v>
      </c>
      <c r="B1006" t="s">
        <v>5</v>
      </c>
      <c r="C1006">
        <v>5</v>
      </c>
    </row>
    <row r="1007" spans="1:3" x14ac:dyDescent="0.25">
      <c r="A1007" t="s">
        <v>166</v>
      </c>
      <c r="B1007" t="s">
        <v>107</v>
      </c>
      <c r="C1007">
        <v>1</v>
      </c>
    </row>
    <row r="1008" spans="1:3" x14ac:dyDescent="0.25">
      <c r="A1008" t="s">
        <v>166</v>
      </c>
      <c r="B1008" t="s">
        <v>1</v>
      </c>
      <c r="C1008">
        <v>19</v>
      </c>
    </row>
    <row r="1009" spans="1:3" x14ac:dyDescent="0.25">
      <c r="A1009" t="s">
        <v>166</v>
      </c>
      <c r="B1009" t="s">
        <v>3</v>
      </c>
      <c r="C1009">
        <v>2</v>
      </c>
    </row>
    <row r="1010" spans="1:3" x14ac:dyDescent="0.25">
      <c r="A1010" t="s">
        <v>166</v>
      </c>
      <c r="B1010" t="s">
        <v>4</v>
      </c>
      <c r="C1010">
        <v>9.5</v>
      </c>
    </row>
    <row r="1011" spans="1:3" x14ac:dyDescent="0.25">
      <c r="A1011" t="s">
        <v>166</v>
      </c>
      <c r="B1011" t="s">
        <v>86</v>
      </c>
      <c r="C1011">
        <v>9.5</v>
      </c>
    </row>
    <row r="1012" spans="1:3" x14ac:dyDescent="0.25">
      <c r="A1012" t="s">
        <v>166</v>
      </c>
      <c r="B1012" t="s">
        <v>2</v>
      </c>
      <c r="C1012">
        <v>45</v>
      </c>
    </row>
    <row r="1013" spans="1:3" x14ac:dyDescent="0.25">
      <c r="A1013" t="s">
        <v>166</v>
      </c>
      <c r="B1013" t="s">
        <v>85</v>
      </c>
      <c r="C1013">
        <v>45</v>
      </c>
    </row>
    <row r="1014" spans="1:3" x14ac:dyDescent="0.25">
      <c r="A1014" t="s">
        <v>166</v>
      </c>
      <c r="B1014" t="s">
        <v>38</v>
      </c>
      <c r="C1014">
        <v>1</v>
      </c>
    </row>
    <row r="1015" spans="1:3" x14ac:dyDescent="0.25">
      <c r="A1015" t="s">
        <v>166</v>
      </c>
      <c r="B1015" t="s">
        <v>65</v>
      </c>
      <c r="C1015">
        <v>20</v>
      </c>
    </row>
    <row r="1016" spans="1:3" x14ac:dyDescent="0.25">
      <c r="A1016" t="s">
        <v>166</v>
      </c>
      <c r="B1016" t="s">
        <v>35</v>
      </c>
      <c r="C1016">
        <v>8</v>
      </c>
    </row>
    <row r="1017" spans="1:3" x14ac:dyDescent="0.25">
      <c r="A1017" t="s">
        <v>108</v>
      </c>
      <c r="B1017" t="s">
        <v>2</v>
      </c>
      <c r="C1017">
        <v>45</v>
      </c>
    </row>
    <row r="1018" spans="1:3" x14ac:dyDescent="0.25">
      <c r="A1018" t="s">
        <v>108</v>
      </c>
      <c r="B1018" t="s">
        <v>35</v>
      </c>
      <c r="C1018">
        <v>5</v>
      </c>
    </row>
    <row r="1019" spans="1:3" x14ac:dyDescent="0.25">
      <c r="A1019" t="s">
        <v>108</v>
      </c>
      <c r="B1019" t="s">
        <v>85</v>
      </c>
      <c r="C1019">
        <v>45</v>
      </c>
    </row>
    <row r="1020" spans="1:3" x14ac:dyDescent="0.25">
      <c r="A1020" t="s">
        <v>154</v>
      </c>
      <c r="B1020" t="s">
        <v>138</v>
      </c>
      <c r="C1020">
        <v>1</v>
      </c>
    </row>
    <row r="1021" spans="1:3" x14ac:dyDescent="0.25">
      <c r="A1021" t="s">
        <v>154</v>
      </c>
      <c r="B1021" t="s">
        <v>35</v>
      </c>
      <c r="C1021">
        <v>1</v>
      </c>
    </row>
    <row r="1022" spans="1:3" x14ac:dyDescent="0.25">
      <c r="A1022" t="s">
        <v>154</v>
      </c>
      <c r="B1022" t="s">
        <v>84</v>
      </c>
      <c r="C1022">
        <v>1</v>
      </c>
    </row>
    <row r="1023" spans="1:3" x14ac:dyDescent="0.25">
      <c r="A1023" t="s">
        <v>154</v>
      </c>
      <c r="B1023" t="s">
        <v>2</v>
      </c>
      <c r="C1023">
        <v>6</v>
      </c>
    </row>
    <row r="1024" spans="1:3" x14ac:dyDescent="0.25">
      <c r="A1024" t="s">
        <v>154</v>
      </c>
      <c r="B1024" t="s">
        <v>85</v>
      </c>
      <c r="C1024">
        <v>6</v>
      </c>
    </row>
    <row r="1025" spans="1:3" x14ac:dyDescent="0.25">
      <c r="A1025" t="s">
        <v>41</v>
      </c>
      <c r="B1025" t="s">
        <v>6</v>
      </c>
      <c r="C1025">
        <v>5</v>
      </c>
    </row>
    <row r="1026" spans="1:3" x14ac:dyDescent="0.25">
      <c r="A1026" t="s">
        <v>41</v>
      </c>
      <c r="B1026" t="s">
        <v>4</v>
      </c>
      <c r="C1026">
        <v>30</v>
      </c>
    </row>
    <row r="1027" spans="1:3" x14ac:dyDescent="0.25">
      <c r="A1027" t="s">
        <v>41</v>
      </c>
      <c r="B1027" t="s">
        <v>35</v>
      </c>
      <c r="C1027">
        <v>10</v>
      </c>
    </row>
    <row r="1028" spans="1:3" x14ac:dyDescent="0.25">
      <c r="A1028" t="s">
        <v>41</v>
      </c>
      <c r="B1028" t="s">
        <v>1</v>
      </c>
      <c r="C1028">
        <v>50</v>
      </c>
    </row>
    <row r="1029" spans="1:3" x14ac:dyDescent="0.25">
      <c r="A1029" t="s">
        <v>41</v>
      </c>
      <c r="B1029" t="s">
        <v>5</v>
      </c>
      <c r="C1029">
        <v>10</v>
      </c>
    </row>
    <row r="1030" spans="1:3" x14ac:dyDescent="0.25">
      <c r="A1030" t="s">
        <v>41</v>
      </c>
      <c r="B1030" t="s">
        <v>3</v>
      </c>
      <c r="C1030">
        <v>10</v>
      </c>
    </row>
    <row r="1031" spans="1:3" x14ac:dyDescent="0.25">
      <c r="A1031" t="s">
        <v>41</v>
      </c>
      <c r="B1031" t="s">
        <v>86</v>
      </c>
      <c r="C1031">
        <v>30</v>
      </c>
    </row>
    <row r="1032" spans="1:3" x14ac:dyDescent="0.25">
      <c r="A1032" t="s">
        <v>41</v>
      </c>
      <c r="B1032" t="s">
        <v>2</v>
      </c>
      <c r="C1032">
        <v>60</v>
      </c>
    </row>
    <row r="1033" spans="1:3" x14ac:dyDescent="0.25">
      <c r="A1033" t="s">
        <v>41</v>
      </c>
      <c r="B1033" t="s">
        <v>85</v>
      </c>
      <c r="C1033">
        <v>60</v>
      </c>
    </row>
    <row r="1034" spans="1:3" x14ac:dyDescent="0.25">
      <c r="A1034" t="s">
        <v>41</v>
      </c>
      <c r="B1034" t="s">
        <v>38</v>
      </c>
      <c r="C1034">
        <v>5</v>
      </c>
    </row>
    <row r="1035" spans="1:3" x14ac:dyDescent="0.25">
      <c r="A1035" t="s">
        <v>41</v>
      </c>
      <c r="B1035" t="s">
        <v>65</v>
      </c>
      <c r="C1035">
        <v>100</v>
      </c>
    </row>
    <row r="1036" spans="1:3" x14ac:dyDescent="0.25">
      <c r="A1036" t="s">
        <v>64</v>
      </c>
      <c r="B1036" t="s">
        <v>65</v>
      </c>
      <c r="C1036">
        <v>15</v>
      </c>
    </row>
    <row r="1037" spans="1:3" x14ac:dyDescent="0.25">
      <c r="A1037" t="s">
        <v>64</v>
      </c>
      <c r="B1037" t="s">
        <v>63</v>
      </c>
      <c r="C1037">
        <v>15</v>
      </c>
    </row>
    <row r="1038" spans="1:3" x14ac:dyDescent="0.25">
      <c r="A1038" t="s">
        <v>62</v>
      </c>
      <c r="B1038" t="s">
        <v>2</v>
      </c>
      <c r="C1038">
        <v>0.02</v>
      </c>
    </row>
    <row r="1039" spans="1:3" x14ac:dyDescent="0.25">
      <c r="A1039" t="s">
        <v>62</v>
      </c>
      <c r="B1039" t="s">
        <v>64</v>
      </c>
      <c r="C1039">
        <v>0.1</v>
      </c>
    </row>
    <row r="1040" spans="1:3" x14ac:dyDescent="0.25">
      <c r="A1040" t="s">
        <v>62</v>
      </c>
      <c r="B1040" t="s">
        <v>63</v>
      </c>
      <c r="C1040">
        <v>1.7</v>
      </c>
    </row>
    <row r="1041" spans="1:3" x14ac:dyDescent="0.25">
      <c r="A1041" t="s">
        <v>62</v>
      </c>
      <c r="B1041" t="s">
        <v>85</v>
      </c>
      <c r="C1041">
        <v>0.02</v>
      </c>
    </row>
    <row r="1042" spans="1:3" x14ac:dyDescent="0.25">
      <c r="A1042" t="s">
        <v>62</v>
      </c>
      <c r="B1042" t="s">
        <v>65</v>
      </c>
      <c r="C1042">
        <v>1.5</v>
      </c>
    </row>
    <row r="1043" spans="1:3" x14ac:dyDescent="0.25">
      <c r="A1043" t="s">
        <v>162</v>
      </c>
      <c r="B1043" t="s">
        <v>6</v>
      </c>
      <c r="C1043">
        <v>10</v>
      </c>
    </row>
    <row r="1044" spans="1:3" x14ac:dyDescent="0.25">
      <c r="A1044" t="s">
        <v>162</v>
      </c>
      <c r="B1044" t="s">
        <v>53</v>
      </c>
      <c r="C1044">
        <v>32</v>
      </c>
    </row>
    <row r="1045" spans="1:3" x14ac:dyDescent="0.25">
      <c r="A1045" t="s">
        <v>162</v>
      </c>
      <c r="B1045" t="s">
        <v>8</v>
      </c>
      <c r="C1045">
        <v>47</v>
      </c>
    </row>
    <row r="1046" spans="1:3" x14ac:dyDescent="0.25">
      <c r="A1046" t="s">
        <v>162</v>
      </c>
      <c r="B1046" t="s">
        <v>35</v>
      </c>
      <c r="C1046">
        <v>82</v>
      </c>
    </row>
    <row r="1047" spans="1:3" x14ac:dyDescent="0.25">
      <c r="A1047" t="s">
        <v>162</v>
      </c>
      <c r="B1047" t="s">
        <v>1</v>
      </c>
      <c r="C1047">
        <v>100</v>
      </c>
    </row>
    <row r="1048" spans="1:3" x14ac:dyDescent="0.25">
      <c r="A1048" t="s">
        <v>162</v>
      </c>
      <c r="B1048" t="s">
        <v>5</v>
      </c>
      <c r="C1048">
        <v>20</v>
      </c>
    </row>
    <row r="1049" spans="1:3" x14ac:dyDescent="0.25">
      <c r="A1049" t="s">
        <v>162</v>
      </c>
      <c r="B1049" t="s">
        <v>3</v>
      </c>
      <c r="C1049">
        <v>20</v>
      </c>
    </row>
    <row r="1050" spans="1:3" x14ac:dyDescent="0.25">
      <c r="A1050" t="s">
        <v>162</v>
      </c>
      <c r="B1050" t="s">
        <v>4</v>
      </c>
      <c r="C1050">
        <v>50</v>
      </c>
    </row>
    <row r="1051" spans="1:3" x14ac:dyDescent="0.25">
      <c r="A1051" t="s">
        <v>162</v>
      </c>
      <c r="B1051" t="s">
        <v>86</v>
      </c>
      <c r="C1051">
        <v>50</v>
      </c>
    </row>
    <row r="1052" spans="1:3" x14ac:dyDescent="0.25">
      <c r="A1052" t="s">
        <v>162</v>
      </c>
      <c r="B1052" t="s">
        <v>2</v>
      </c>
      <c r="C1052">
        <v>588</v>
      </c>
    </row>
    <row r="1053" spans="1:3" x14ac:dyDescent="0.25">
      <c r="A1053" t="s">
        <v>162</v>
      </c>
      <c r="B1053" t="s">
        <v>85</v>
      </c>
      <c r="C1053">
        <v>588</v>
      </c>
    </row>
    <row r="1054" spans="1:3" x14ac:dyDescent="0.25">
      <c r="A1054" t="s">
        <v>162</v>
      </c>
      <c r="B1054" t="s">
        <v>38</v>
      </c>
      <c r="C1054">
        <v>10</v>
      </c>
    </row>
    <row r="1055" spans="1:3" x14ac:dyDescent="0.25">
      <c r="A1055" t="s">
        <v>162</v>
      </c>
      <c r="B1055" t="s">
        <v>65</v>
      </c>
      <c r="C1055">
        <v>200</v>
      </c>
    </row>
    <row r="1056" spans="1:3" x14ac:dyDescent="0.25">
      <c r="A1056" t="s">
        <v>162</v>
      </c>
      <c r="B1056" t="s">
        <v>23</v>
      </c>
      <c r="C1056">
        <v>64</v>
      </c>
    </row>
    <row r="1057" spans="1:3" x14ac:dyDescent="0.25">
      <c r="A1057" t="s">
        <v>155</v>
      </c>
      <c r="B1057" t="s">
        <v>5</v>
      </c>
      <c r="C1057">
        <v>5</v>
      </c>
    </row>
    <row r="1058" spans="1:3" x14ac:dyDescent="0.25">
      <c r="A1058" t="s">
        <v>155</v>
      </c>
      <c r="B1058" t="s">
        <v>2</v>
      </c>
      <c r="C1058">
        <v>30</v>
      </c>
    </row>
    <row r="1059" spans="1:3" x14ac:dyDescent="0.25">
      <c r="A1059" t="s">
        <v>155</v>
      </c>
      <c r="B1059" t="s">
        <v>35</v>
      </c>
      <c r="C1059">
        <v>3</v>
      </c>
    </row>
    <row r="1060" spans="1:3" x14ac:dyDescent="0.25">
      <c r="A1060" t="s">
        <v>155</v>
      </c>
      <c r="B1060" t="s">
        <v>1</v>
      </c>
      <c r="C1060">
        <v>15</v>
      </c>
    </row>
    <row r="1061" spans="1:3" x14ac:dyDescent="0.25">
      <c r="A1061" t="s">
        <v>155</v>
      </c>
      <c r="B1061" t="s">
        <v>4</v>
      </c>
      <c r="C1061">
        <v>7.5</v>
      </c>
    </row>
    <row r="1062" spans="1:3" x14ac:dyDescent="0.25">
      <c r="A1062" t="s">
        <v>155</v>
      </c>
      <c r="B1062" t="s">
        <v>86</v>
      </c>
      <c r="C1062">
        <v>7.5</v>
      </c>
    </row>
    <row r="1063" spans="1:3" x14ac:dyDescent="0.25">
      <c r="A1063" t="s">
        <v>155</v>
      </c>
      <c r="B1063" t="s">
        <v>85</v>
      </c>
      <c r="C1063">
        <v>30</v>
      </c>
    </row>
    <row r="1064" spans="1:3" x14ac:dyDescent="0.25">
      <c r="A1064" t="s">
        <v>24</v>
      </c>
      <c r="B1064" t="s">
        <v>8</v>
      </c>
      <c r="C1064">
        <v>0.5</v>
      </c>
    </row>
    <row r="1065" spans="1:3" x14ac:dyDescent="0.25">
      <c r="A1065" t="s">
        <v>24</v>
      </c>
      <c r="B1065" t="s">
        <v>2</v>
      </c>
      <c r="C1065">
        <v>1.5</v>
      </c>
    </row>
    <row r="1066" spans="1:3" x14ac:dyDescent="0.25">
      <c r="A1066" t="s">
        <v>24</v>
      </c>
      <c r="B1066" t="s">
        <v>85</v>
      </c>
      <c r="C1066">
        <v>1.5</v>
      </c>
    </row>
    <row r="1067" spans="1:3" x14ac:dyDescent="0.25">
      <c r="A1067" t="s">
        <v>27</v>
      </c>
      <c r="B1067" t="s">
        <v>2</v>
      </c>
      <c r="C1067">
        <v>8.75</v>
      </c>
    </row>
    <row r="1068" spans="1:3" x14ac:dyDescent="0.25">
      <c r="A1068" t="s">
        <v>27</v>
      </c>
      <c r="B1068" t="s">
        <v>24</v>
      </c>
      <c r="C1068">
        <v>2.5</v>
      </c>
    </row>
    <row r="1069" spans="1:3" x14ac:dyDescent="0.25">
      <c r="A1069" t="s">
        <v>27</v>
      </c>
      <c r="B1069" t="s">
        <v>85</v>
      </c>
      <c r="C1069">
        <v>8.75</v>
      </c>
    </row>
    <row r="1070" spans="1:3" x14ac:dyDescent="0.25">
      <c r="A1070" t="s">
        <v>27</v>
      </c>
      <c r="B1070" t="s">
        <v>8</v>
      </c>
      <c r="C1070">
        <v>1.25</v>
      </c>
    </row>
    <row r="1071" spans="1:3" x14ac:dyDescent="0.25">
      <c r="A1071" t="s">
        <v>104</v>
      </c>
      <c r="B1071" t="s">
        <v>105</v>
      </c>
      <c r="C1071">
        <v>1</v>
      </c>
    </row>
    <row r="1072" spans="1:3" x14ac:dyDescent="0.25">
      <c r="A1072" t="s">
        <v>103</v>
      </c>
      <c r="B1072" t="s">
        <v>104</v>
      </c>
      <c r="C1072">
        <v>4</v>
      </c>
    </row>
    <row r="1073" spans="1:3" x14ac:dyDescent="0.25">
      <c r="A1073" t="s">
        <v>103</v>
      </c>
      <c r="B1073" t="s">
        <v>105</v>
      </c>
      <c r="C107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Calc</vt:lpstr>
      <vt:lpstr>Data</vt:lpstr>
      <vt:lpstr>Scratch</vt:lpstr>
      <vt:lpstr>ActiveComponent</vt:lpstr>
      <vt:lpstr>AssemblerType</vt:lpstr>
      <vt:lpstr>ComponentCount</vt:lpstr>
      <vt:lpstr>CycleTime</vt:lpstr>
      <vt:lpstr>CycleTime.Actual</vt:lpstr>
      <vt:lpstr>FurnaceType</vt:lpstr>
      <vt:lpstr>IncludeAssemblyMachines</vt:lpstr>
      <vt:lpstr>IncludeChemicalPlants</vt:lpstr>
      <vt:lpstr>IncludeFurnaces</vt:lpstr>
      <vt:lpstr>IncludeMiners</vt:lpstr>
      <vt:lpstr>IncludePumps</vt:lpstr>
      <vt:lpstr>IncludeRefineries</vt:lpstr>
      <vt:lpstr>Includes</vt:lpstr>
      <vt:lpstr>ItemNames</vt:lpstr>
      <vt:lpstr>MinerType</vt:lpstr>
      <vt:lpstr>MinInsertionTime</vt:lpstr>
      <vt:lpstr>Overrides.AssemblyMachineBonus</vt:lpstr>
      <vt:lpstr>Overrides.AssemblyMachineSpeed</vt:lpstr>
      <vt:lpstr>Overrides.ChemicalPlantBonus</vt:lpstr>
      <vt:lpstr>Overrides.ChemicalPlantSpeed</vt:lpstr>
      <vt:lpstr>Overrides.FurnaceBonus</vt:lpstr>
      <vt:lpstr>Overrides.FurnaceSpeed</vt:lpstr>
      <vt:lpstr>Overrides.MiningBonus</vt:lpstr>
      <vt:lpstr>Overrides.MiningSpeed</vt:lpstr>
      <vt:lpstr>Overrides.RefineryBonus</vt:lpstr>
      <vt:lpstr>Overrides.RefinerySpeed</vt:lpstr>
      <vt:lpstr>ProducerQuantity</vt:lpstr>
      <vt:lpstr>ProducerQuantity.Actual</vt:lpstr>
      <vt:lpstr>ProducerTypes</vt:lpstr>
      <vt:lpstr>ProductionCalc.Actual</vt:lpstr>
      <vt:lpstr>ProductionCalc.CycleTime</vt:lpstr>
      <vt:lpstr>ProductionCalc.CycleTime.Entry</vt:lpstr>
      <vt:lpstr>ProductionCalc.Entry</vt:lpstr>
      <vt:lpstr>ProductionCalc.ProducerQuantity</vt:lpstr>
      <vt:lpstr>ProductionCalc.ProducerQuantity.Entry</vt:lpstr>
      <vt:lpstr>ProductionCalc.ProductionPerMinute</vt:lpstr>
      <vt:lpstr>ProductionCalc.ProductionPerMinute.Entry</vt:lpstr>
      <vt:lpstr>ProductionCalc.ProductionPerSecond</vt:lpstr>
      <vt:lpstr>ProductionCalc.ProductionPerSecond.Entry</vt:lpstr>
      <vt:lpstr>ProductionPerMinute</vt:lpstr>
      <vt:lpstr>ProductionPerSecond</vt:lpstr>
      <vt:lpstr>ProductionPerSecond.Actual</vt:lpstr>
      <vt:lpstr>RecipeTotals</vt:lpstr>
      <vt:lpstr>RecipeTotals.Component</vt:lpstr>
      <vt:lpstr>RecipeTotals.Name</vt:lpstr>
      <vt:lpstr>RecipeTotals.Quantity</vt:lpstr>
      <vt:lpstr>SelectedMiningType</vt:lpstr>
      <vt:lpstr>SelectedName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Clement</dc:creator>
  <cp:lastModifiedBy>Jason Clement</cp:lastModifiedBy>
  <dcterms:created xsi:type="dcterms:W3CDTF">2017-04-23T04:46:13Z</dcterms:created>
  <dcterms:modified xsi:type="dcterms:W3CDTF">2017-10-27T20:31:19Z</dcterms:modified>
</cp:coreProperties>
</file>